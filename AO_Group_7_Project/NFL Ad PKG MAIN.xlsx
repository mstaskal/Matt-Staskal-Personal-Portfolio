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https://iowa-my.sharepoint.com/personal/eunderbe_uiowa_edu/Documents/Applied Optimization/Group 7 Project/"/>
    </mc:Choice>
  </mc:AlternateContent>
  <xr:revisionPtr revIDLastSave="0" documentId="8_{3A61E9A5-0071-4B19-B2A1-DAC2FFEB92BC}" xr6:coauthVersionLast="47" xr6:coauthVersionMax="47" xr10:uidLastSave="{00000000-0000-0000-0000-000000000000}"/>
  <bookViews>
    <workbookView xWindow="19090" yWindow="-110" windowWidth="38620" windowHeight="21100" firstSheet="2" activeTab="2" xr2:uid="{73BACDE2-1465-4D44-8D1C-A8E27487E0D4}"/>
  </bookViews>
  <sheets>
    <sheet name="Pre-Schedule Release" sheetId="1" r:id="rId1"/>
    <sheet name="Schedule Release" sheetId="4" r:id="rId2"/>
    <sheet name="Schedule Release 1-Min Qualifer" sheetId="5" r:id="rId3"/>
    <sheet name="Prospect Data Table" sheetId="6" r:id="rId4"/>
    <sheet name="Salesperson Table" sheetId="7" r:id="rId5"/>
  </sheets>
  <definedNames>
    <definedName name="_xlnm._FilterDatabase" localSheetId="0" hidden="1">'Pre-Schedule Release'!$B$12:$H$17</definedName>
    <definedName name="_xlnm.Print_Titles" localSheetId="0">'Pre-Schedule Release'!$11:$12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6" i="5" l="1"/>
  <c r="R16" i="5" s="1"/>
  <c r="O18" i="5"/>
  <c r="R18" i="5" s="1"/>
  <c r="O19" i="5"/>
  <c r="R19" i="5" s="1"/>
  <c r="O21" i="5"/>
  <c r="R21" i="5" s="1"/>
  <c r="O23" i="5"/>
  <c r="R23" i="5" s="1"/>
  <c r="O24" i="5"/>
  <c r="R24" i="5" s="1"/>
  <c r="O25" i="5"/>
  <c r="R25" i="5" s="1"/>
  <c r="O26" i="5"/>
  <c r="R26" i="5" s="1"/>
  <c r="O28" i="5"/>
  <c r="R28" i="5" s="1"/>
  <c r="O29" i="5"/>
  <c r="R29" i="5" s="1"/>
  <c r="O30" i="5"/>
  <c r="R30" i="5" s="1"/>
  <c r="O31" i="5"/>
  <c r="R31" i="5" s="1"/>
  <c r="O32" i="5"/>
  <c r="R32" i="5" s="1"/>
  <c r="O35" i="5"/>
  <c r="R35" i="5" s="1"/>
  <c r="O38" i="5"/>
  <c r="R38" i="5" s="1"/>
  <c r="O13" i="5"/>
  <c r="N16" i="5"/>
  <c r="Q16" i="5" s="1"/>
  <c r="N18" i="5"/>
  <c r="Q18" i="5" s="1"/>
  <c r="N19" i="5"/>
  <c r="Q19" i="5" s="1"/>
  <c r="N21" i="5"/>
  <c r="Q21" i="5" s="1"/>
  <c r="N23" i="5"/>
  <c r="Q23" i="5" s="1"/>
  <c r="N24" i="5"/>
  <c r="Q24" i="5" s="1"/>
  <c r="N25" i="5"/>
  <c r="Q25" i="5" s="1"/>
  <c r="N26" i="5"/>
  <c r="Q26" i="5" s="1"/>
  <c r="N28" i="5"/>
  <c r="Q28" i="5" s="1"/>
  <c r="N29" i="5"/>
  <c r="Q29" i="5" s="1"/>
  <c r="N30" i="5"/>
  <c r="Q30" i="5" s="1"/>
  <c r="N31" i="5"/>
  <c r="Q31" i="5" s="1"/>
  <c r="N32" i="5"/>
  <c r="Q32" i="5" s="1"/>
  <c r="N35" i="5"/>
  <c r="Q35" i="5" s="1"/>
  <c r="N38" i="5"/>
  <c r="Q38" i="5" s="1"/>
  <c r="N13" i="5"/>
  <c r="Q13" i="5" s="1"/>
  <c r="M16" i="5"/>
  <c r="P16" i="5" s="1"/>
  <c r="M18" i="5"/>
  <c r="P18" i="5" s="1"/>
  <c r="M19" i="5"/>
  <c r="P19" i="5" s="1"/>
  <c r="M21" i="5"/>
  <c r="P21" i="5" s="1"/>
  <c r="M23" i="5"/>
  <c r="P23" i="5" s="1"/>
  <c r="M24" i="5"/>
  <c r="P24" i="5" s="1"/>
  <c r="M25" i="5"/>
  <c r="P25" i="5" s="1"/>
  <c r="M26" i="5"/>
  <c r="P26" i="5" s="1"/>
  <c r="M28" i="5"/>
  <c r="P28" i="5" s="1"/>
  <c r="M29" i="5"/>
  <c r="P29" i="5" s="1"/>
  <c r="M30" i="5"/>
  <c r="P30" i="5" s="1"/>
  <c r="M31" i="5"/>
  <c r="P31" i="5" s="1"/>
  <c r="M32" i="5"/>
  <c r="P32" i="5" s="1"/>
  <c r="M35" i="5"/>
  <c r="P35" i="5" s="1"/>
  <c r="M38" i="5"/>
  <c r="P38" i="5" s="1"/>
  <c r="M13" i="5"/>
  <c r="P13" i="5" s="1"/>
  <c r="H40" i="5"/>
  <c r="F40" i="5"/>
  <c r="K39" i="5"/>
  <c r="I39" i="5"/>
  <c r="J39" i="5" s="1"/>
  <c r="L38" i="5"/>
  <c r="K38" i="5"/>
  <c r="J38" i="5"/>
  <c r="K37" i="5"/>
  <c r="I37" i="5"/>
  <c r="J37" i="5" s="1"/>
  <c r="K36" i="5"/>
  <c r="I36" i="5"/>
  <c r="L36" i="5" s="1"/>
  <c r="L35" i="5"/>
  <c r="K35" i="5"/>
  <c r="J35" i="5"/>
  <c r="K34" i="5"/>
  <c r="I34" i="5"/>
  <c r="L34" i="5" s="1"/>
  <c r="K33" i="5"/>
  <c r="I33" i="5"/>
  <c r="L33" i="5" s="1"/>
  <c r="L32" i="5"/>
  <c r="K32" i="5"/>
  <c r="J32" i="5"/>
  <c r="L31" i="5"/>
  <c r="K31" i="5"/>
  <c r="J31" i="5"/>
  <c r="L30" i="5"/>
  <c r="K30" i="5"/>
  <c r="J30" i="5"/>
  <c r="L29" i="5"/>
  <c r="K29" i="5"/>
  <c r="J29" i="5"/>
  <c r="L28" i="5"/>
  <c r="K28" i="5"/>
  <c r="J28" i="5"/>
  <c r="K27" i="5"/>
  <c r="I27" i="5"/>
  <c r="L27" i="5" s="1"/>
  <c r="L26" i="5"/>
  <c r="K26" i="5"/>
  <c r="J26" i="5"/>
  <c r="L25" i="5"/>
  <c r="K25" i="5"/>
  <c r="J25" i="5"/>
  <c r="L24" i="5"/>
  <c r="K24" i="5"/>
  <c r="J24" i="5"/>
  <c r="L23" i="5"/>
  <c r="K23" i="5"/>
  <c r="J23" i="5"/>
  <c r="K22" i="5"/>
  <c r="I22" i="5"/>
  <c r="L22" i="5" s="1"/>
  <c r="L21" i="5"/>
  <c r="K21" i="5"/>
  <c r="J21" i="5"/>
  <c r="K20" i="5"/>
  <c r="I20" i="5"/>
  <c r="L20" i="5" s="1"/>
  <c r="L19" i="5"/>
  <c r="K19" i="5"/>
  <c r="J19" i="5"/>
  <c r="L18" i="5"/>
  <c r="K18" i="5"/>
  <c r="J18" i="5"/>
  <c r="K17" i="5"/>
  <c r="I17" i="5"/>
  <c r="J17" i="5" s="1"/>
  <c r="L16" i="5"/>
  <c r="K16" i="5"/>
  <c r="J16" i="5"/>
  <c r="K15" i="5"/>
  <c r="I15" i="5"/>
  <c r="J15" i="5" s="1"/>
  <c r="K14" i="5"/>
  <c r="I14" i="5"/>
  <c r="L14" i="5" s="1"/>
  <c r="C14" i="5"/>
  <c r="C15" i="5" s="1"/>
  <c r="C16" i="5" s="1"/>
  <c r="C17" i="5" s="1"/>
  <c r="C18" i="5" s="1"/>
  <c r="C19" i="5" s="1"/>
  <c r="C20" i="5" s="1"/>
  <c r="C21" i="5" s="1"/>
  <c r="C22" i="5" s="1"/>
  <c r="C23" i="5" s="1"/>
  <c r="C24" i="5" s="1"/>
  <c r="C25" i="5" s="1"/>
  <c r="C26" i="5" s="1"/>
  <c r="C27" i="5" s="1"/>
  <c r="C28" i="5" s="1"/>
  <c r="C29" i="5" s="1"/>
  <c r="C30" i="5" s="1"/>
  <c r="C31" i="5" s="1"/>
  <c r="C32" i="5" s="1"/>
  <c r="C33" i="5" s="1"/>
  <c r="C34" i="5" s="1"/>
  <c r="C35" i="5" s="1"/>
  <c r="C36" i="5" s="1"/>
  <c r="C37" i="5" s="1"/>
  <c r="C38" i="5" s="1"/>
  <c r="C39" i="5" s="1"/>
  <c r="L13" i="5"/>
  <c r="K13" i="5"/>
  <c r="J13" i="5"/>
  <c r="J16" i="4"/>
  <c r="J18" i="4"/>
  <c r="J19" i="4"/>
  <c r="J21" i="4"/>
  <c r="J23" i="4"/>
  <c r="J24" i="4"/>
  <c r="J25" i="4"/>
  <c r="J26" i="4"/>
  <c r="J28" i="4"/>
  <c r="J29" i="4"/>
  <c r="J30" i="4"/>
  <c r="J31" i="4"/>
  <c r="J32" i="4"/>
  <c r="J35" i="4"/>
  <c r="J38" i="4"/>
  <c r="J13" i="4"/>
  <c r="H40" i="4"/>
  <c r="F40" i="4"/>
  <c r="K39" i="4"/>
  <c r="I39" i="4"/>
  <c r="L38" i="4"/>
  <c r="K38" i="4"/>
  <c r="K37" i="4"/>
  <c r="I37" i="4"/>
  <c r="K36" i="4"/>
  <c r="I36" i="4"/>
  <c r="L35" i="4"/>
  <c r="K35" i="4"/>
  <c r="K34" i="4"/>
  <c r="I34" i="4"/>
  <c r="K33" i="4"/>
  <c r="I33" i="4"/>
  <c r="L32" i="4"/>
  <c r="K32" i="4"/>
  <c r="L31" i="4"/>
  <c r="K31" i="4"/>
  <c r="L30" i="4"/>
  <c r="K30" i="4"/>
  <c r="L29" i="4"/>
  <c r="K29" i="4"/>
  <c r="L28" i="4"/>
  <c r="K28" i="4"/>
  <c r="K27" i="4"/>
  <c r="I27" i="4"/>
  <c r="L26" i="4"/>
  <c r="K26" i="4"/>
  <c r="L25" i="4"/>
  <c r="K25" i="4"/>
  <c r="L24" i="4"/>
  <c r="K24" i="4"/>
  <c r="L23" i="4"/>
  <c r="K23" i="4"/>
  <c r="K22" i="4"/>
  <c r="I22" i="4"/>
  <c r="L21" i="4"/>
  <c r="K21" i="4"/>
  <c r="K20" i="4"/>
  <c r="I20" i="4"/>
  <c r="L19" i="4"/>
  <c r="K19" i="4"/>
  <c r="L18" i="4"/>
  <c r="K18" i="4"/>
  <c r="K17" i="4"/>
  <c r="I17" i="4"/>
  <c r="L16" i="4"/>
  <c r="K16" i="4"/>
  <c r="K15" i="4"/>
  <c r="I15" i="4"/>
  <c r="K14" i="4"/>
  <c r="I14" i="4"/>
  <c r="J14" i="4" s="1"/>
  <c r="C14" i="4"/>
  <c r="C15" i="4" s="1"/>
  <c r="C16" i="4" s="1"/>
  <c r="C17" i="4" s="1"/>
  <c r="C18" i="4" s="1"/>
  <c r="C19" i="4" s="1"/>
  <c r="C20" i="4" s="1"/>
  <c r="C21" i="4" s="1"/>
  <c r="C22" i="4" s="1"/>
  <c r="C23" i="4" s="1"/>
  <c r="C24" i="4" s="1"/>
  <c r="C25" i="4" s="1"/>
  <c r="C26" i="4" s="1"/>
  <c r="C27" i="4" s="1"/>
  <c r="C28" i="4" s="1"/>
  <c r="C29" i="4" s="1"/>
  <c r="C30" i="4" s="1"/>
  <c r="C31" i="4" s="1"/>
  <c r="C32" i="4" s="1"/>
  <c r="C33" i="4" s="1"/>
  <c r="C34" i="4" s="1"/>
  <c r="C35" i="4" s="1"/>
  <c r="C36" i="4" s="1"/>
  <c r="C37" i="4" s="1"/>
  <c r="C38" i="4" s="1"/>
  <c r="C39" i="4" s="1"/>
  <c r="L13" i="4"/>
  <c r="K13" i="4"/>
  <c r="E18" i="1"/>
  <c r="J14" i="1"/>
  <c r="J15" i="1"/>
  <c r="J16" i="1"/>
  <c r="J17" i="1"/>
  <c r="J13" i="1"/>
  <c r="I14" i="1"/>
  <c r="K14" i="1" s="1"/>
  <c r="I15" i="1"/>
  <c r="K15" i="1" s="1"/>
  <c r="I16" i="1"/>
  <c r="K16" i="1" s="1"/>
  <c r="I17" i="1"/>
  <c r="K17" i="1" s="1"/>
  <c r="I13" i="1"/>
  <c r="K13" i="1" s="1"/>
  <c r="L15" i="4" l="1"/>
  <c r="J15" i="4"/>
  <c r="L17" i="4"/>
  <c r="J17" i="4"/>
  <c r="L20" i="4"/>
  <c r="J20" i="4"/>
  <c r="L22" i="4"/>
  <c r="J22" i="4"/>
  <c r="L27" i="4"/>
  <c r="J27" i="4"/>
  <c r="L33" i="4"/>
  <c r="J33" i="4"/>
  <c r="L34" i="4"/>
  <c r="J34" i="4"/>
  <c r="L36" i="4"/>
  <c r="J36" i="4"/>
  <c r="J37" i="4"/>
  <c r="L37" i="4"/>
  <c r="L39" i="4"/>
  <c r="J39" i="4"/>
  <c r="N39" i="5"/>
  <c r="Q39" i="5" s="1"/>
  <c r="L39" i="5"/>
  <c r="M20" i="5"/>
  <c r="P20" i="5" s="1"/>
  <c r="N36" i="5"/>
  <c r="Q36" i="5" s="1"/>
  <c r="M39" i="5"/>
  <c r="P39" i="5" s="1"/>
  <c r="N14" i="5"/>
  <c r="Q14" i="5" s="1"/>
  <c r="M27" i="5"/>
  <c r="P27" i="5" s="1"/>
  <c r="O17" i="5"/>
  <c r="R17" i="5" s="1"/>
  <c r="M17" i="5"/>
  <c r="P17" i="5" s="1"/>
  <c r="N22" i="5"/>
  <c r="Q22" i="5" s="1"/>
  <c r="O39" i="5"/>
  <c r="R39" i="5" s="1"/>
  <c r="M34" i="5"/>
  <c r="P34" i="5" s="1"/>
  <c r="O15" i="5"/>
  <c r="R15" i="5" s="1"/>
  <c r="N20" i="5"/>
  <c r="Q20" i="5" s="1"/>
  <c r="O14" i="5"/>
  <c r="R14" i="5" s="1"/>
  <c r="N37" i="5"/>
  <c r="Q37" i="5" s="1"/>
  <c r="R13" i="5"/>
  <c r="M33" i="5"/>
  <c r="P33" i="5" s="1"/>
  <c r="N27" i="5"/>
  <c r="Q27" i="5" s="1"/>
  <c r="O22" i="5"/>
  <c r="R22" i="5" s="1"/>
  <c r="M15" i="5"/>
  <c r="P15" i="5" s="1"/>
  <c r="N34" i="5"/>
  <c r="Q34" i="5" s="1"/>
  <c r="O37" i="5"/>
  <c r="R37" i="5" s="1"/>
  <c r="M22" i="5"/>
  <c r="P22" i="5" s="1"/>
  <c r="M14" i="5"/>
  <c r="P14" i="5" s="1"/>
  <c r="N33" i="5"/>
  <c r="Q33" i="5" s="1"/>
  <c r="N17" i="5"/>
  <c r="Q17" i="5" s="1"/>
  <c r="O36" i="5"/>
  <c r="R36" i="5" s="1"/>
  <c r="O20" i="5"/>
  <c r="R20" i="5" s="1"/>
  <c r="M37" i="5"/>
  <c r="P37" i="5" s="1"/>
  <c r="O27" i="5"/>
  <c r="R27" i="5" s="1"/>
  <c r="O33" i="5"/>
  <c r="R33" i="5" s="1"/>
  <c r="M36" i="5"/>
  <c r="P36" i="5" s="1"/>
  <c r="N15" i="5"/>
  <c r="Q15" i="5" s="1"/>
  <c r="O34" i="5"/>
  <c r="R34" i="5" s="1"/>
  <c r="J34" i="5"/>
  <c r="L17" i="5"/>
  <c r="L37" i="5"/>
  <c r="L15" i="5"/>
  <c r="J33" i="5"/>
  <c r="I40" i="5"/>
  <c r="L40" i="5" s="1"/>
  <c r="K40" i="5"/>
  <c r="J14" i="5"/>
  <c r="J36" i="5"/>
  <c r="J27" i="5"/>
  <c r="J20" i="5"/>
  <c r="J22" i="5"/>
  <c r="I40" i="4"/>
  <c r="K40" i="4"/>
  <c r="L14" i="4"/>
  <c r="J18" i="1"/>
  <c r="I18" i="1"/>
  <c r="K18" i="1" s="1"/>
  <c r="L40" i="4" l="1"/>
  <c r="J40" i="4"/>
  <c r="O40" i="5"/>
  <c r="R40" i="5" s="1"/>
  <c r="M40" i="5"/>
  <c r="P40" i="5" s="1"/>
  <c r="N40" i="5"/>
  <c r="Q40" i="5" s="1"/>
  <c r="J40" i="5"/>
</calcChain>
</file>

<file path=xl/sharedStrings.xml><?xml version="1.0" encoding="utf-8"?>
<sst xmlns="http://schemas.openxmlformats.org/spreadsheetml/2006/main" count="433" uniqueCount="172">
  <si>
    <t xml:space="preserve">"Here and now" Stage 1 is Monday, July, 6 2026. As of today we are hitting the streets to pre-sell the NFL Ad PKG prior to the network schedule release in August. </t>
  </si>
  <si>
    <t>CBS Affiliate NFL 27 Game Ad PKG - Pre-Schedule Release</t>
  </si>
  <si>
    <t>Schedule Date:   9/7/2026 - 1/10/2027</t>
  </si>
  <si>
    <t>Acct. Exec: sp_1</t>
  </si>
  <si>
    <t>Date Range:      9/7/2026-1/10/2027</t>
  </si>
  <si>
    <t>Advertiser:      NFL Ad PKG</t>
  </si>
  <si>
    <t>Spot Length(s):  :30</t>
  </si>
  <si>
    <t>Market:          OBFUSCATED</t>
  </si>
  <si>
    <t># of Games</t>
  </si>
  <si>
    <t>Spot Length</t>
  </si>
  <si>
    <t>Network</t>
  </si>
  <si>
    <t>Program Name</t>
  </si>
  <si>
    <t>Time</t>
  </si>
  <si>
    <t>Rate</t>
  </si>
  <si>
    <t>000s</t>
  </si>
  <si>
    <t>Total Cost</t>
  </si>
  <si>
    <t>Total IMPs</t>
  </si>
  <si>
    <t xml:space="preserve">CPM </t>
  </si>
  <si>
    <t>CBS</t>
  </si>
  <si>
    <t>NFL THNKSGVNG GAME ON CBS</t>
  </si>
  <si>
    <t>Thu 12:00p-3:30p</t>
  </si>
  <si>
    <t>:30</t>
  </si>
  <si>
    <t>NOON NON-REGIONAL NFL GAME</t>
  </si>
  <si>
    <t>Sun 12:00p-3:30p</t>
  </si>
  <si>
    <t>NOON REGIONAL NFL GAME</t>
  </si>
  <si>
    <t>3:30PM NON-REGIONAL NFL GAME</t>
  </si>
  <si>
    <t>Sun 3:30p-7:00p</t>
  </si>
  <si>
    <t>3:30PM REGIONAL NFL GAME</t>
  </si>
  <si>
    <t>Regional is defined as Kansas City Chiefs, Minnesota Vikings, Chicago Bears, Green Bay Packers.</t>
  </si>
  <si>
    <t xml:space="preserve">These games cost more due to more regional appeal. </t>
  </si>
  <si>
    <t>Each year CBS carries a game on Thanksgiving, which costs more and has a large audience.</t>
  </si>
  <si>
    <t>CPM = Cost Per Thousand</t>
  </si>
  <si>
    <t>000s is thousands of Households estimated to be viewing each game; i.e. on Thanksgiving there are an estimated 88.5 or 88,500 Households viewing.</t>
  </si>
  <si>
    <t xml:space="preserve">Stage 2 is Monday, August, 3, 2026, when the schedule is revealed. As of today we are hitting the streets to pre-sell the NFL Ad PKG prior to the network schedule release in August. </t>
  </si>
  <si>
    <t>CBS Affiliate NFL 27 Game Ad PKG - Schedule Release</t>
  </si>
  <si>
    <t>Spot</t>
  </si>
  <si>
    <t>Original 000s</t>
  </si>
  <si>
    <t>Revised 000s</t>
  </si>
  <si>
    <t>000s Decreased</t>
  </si>
  <si>
    <t>Original CPM</t>
  </si>
  <si>
    <t>Revised CPM</t>
  </si>
  <si>
    <t>Game ID</t>
  </si>
  <si>
    <t>Length</t>
  </si>
  <si>
    <t>NFL THNKSGVNG GAME CHIC/DET</t>
  </si>
  <si>
    <t>KC NFL GAME #1 ARIZONA/KC</t>
  </si>
  <si>
    <t>KC NFL GAME #1 KC/ATLANTA</t>
  </si>
  <si>
    <t>KC NFL GAME #1 KC/MIAMI</t>
  </si>
  <si>
    <t>KC NFL GAME #1 NY JETS/KC</t>
  </si>
  <si>
    <t>KC NFL GAME #2 KC/DENVER</t>
  </si>
  <si>
    <t>Sun 3:30p-6:30p</t>
  </si>
  <si>
    <t>KC NFL GAME #2 KC/LAS VEGAS</t>
  </si>
  <si>
    <t>KC NFL GAME #2 LA CHRGRS/KC</t>
  </si>
  <si>
    <t>KC NFL GAME #2 SAN FRAN/KC</t>
  </si>
  <si>
    <t>NFL GAME #2 CAROLINA/MINNY</t>
  </si>
  <si>
    <t>NFL GAME #2 GRNBAY/MINNY</t>
  </si>
  <si>
    <t>NFL SAT NIGHT CHIC/BFLO</t>
  </si>
  <si>
    <t>Sat 7:00p-10:00p</t>
  </si>
  <si>
    <t>NFL GAME #1 CHIC/MIAMI</t>
  </si>
  <si>
    <t>NFL GAME #1 INDY/MINNY</t>
  </si>
  <si>
    <t>NFL GAME #2 DENVER/LA CHRGRS</t>
  </si>
  <si>
    <t>Sun 3:00p-6:00p</t>
  </si>
  <si>
    <t>NFL GAME #2 BALT/DALLAS</t>
  </si>
  <si>
    <t>NFL GAME #2 DENVER/LAS VEGAS</t>
  </si>
  <si>
    <t>NFL GAME #2 LAS VEGAS/DENVER</t>
  </si>
  <si>
    <t>NFL GAME #1 BALT/BFLO</t>
  </si>
  <si>
    <t>NFL GAME #1 BALT/PITTS</t>
  </si>
  <si>
    <t>NFL GAME #1 BFLO/HOUSTON</t>
  </si>
  <si>
    <t>NFL GAME #1 LACHARG/TAMPA BY</t>
  </si>
  <si>
    <t>NFL GAME #1 NEW ENG/BFLO</t>
  </si>
  <si>
    <t>NFL GAME #1 NEW ENG/NY JETS</t>
  </si>
  <si>
    <t>NFL GAME #1 NEW ORLNS/CINCY</t>
  </si>
  <si>
    <t>NFL GAME #1 PITTS/NEW ENG</t>
  </si>
  <si>
    <t>NFL GAME #1/CARLNA/PHILLY</t>
  </si>
  <si>
    <r>
      <t xml:space="preserve">After the schedule is released, the station recalculates expected package delivery using the actual game mix. </t>
    </r>
    <r>
      <rPr>
        <b/>
        <sz val="9.1999999999999993"/>
        <color rgb="FF000000"/>
        <rFont val="Aptos"/>
        <family val="2"/>
      </rPr>
      <t>A game featuring one low-interest team receives a 30% IMP reduction</t>
    </r>
    <r>
      <rPr>
        <sz val="9.1999999999999993"/>
        <color indexed="8"/>
        <rFont val="Aptos"/>
        <family val="2"/>
      </rPr>
      <t xml:space="preserve">; </t>
    </r>
    <r>
      <rPr>
        <b/>
        <sz val="9.1999999999999993"/>
        <color rgb="FF000000"/>
        <rFont val="Aptos"/>
        <family val="2"/>
      </rPr>
      <t>a game featuring two low-interest teams receives a 40% reduction</t>
    </r>
    <r>
      <rPr>
        <sz val="9.1999999999999993"/>
        <color indexed="8"/>
        <rFont val="Aptos"/>
        <family val="2"/>
      </rPr>
      <t xml:space="preserve">. </t>
    </r>
    <r>
      <rPr>
        <i/>
        <sz val="9.1999999999999993"/>
        <color rgb="FF000000"/>
        <rFont val="Aptos"/>
        <family val="2"/>
      </rPr>
      <t xml:space="preserve">Low-interest teams are the New York Jets, Los Angeles Chargers, New York Giants, New Orleans Saints, Houston Texans, Atlanta Falcons, Arizona Cardinals, Tennessee Titans, Carolina Panthers, Jacksonville Jaguars, Cleveland Browns, and Cincinnati Bengals. </t>
    </r>
    <r>
      <rPr>
        <sz val="9.1999999999999993"/>
        <color rgb="FF000000"/>
        <rFont val="Aptos"/>
        <family val="2"/>
      </rPr>
      <t>IMPs have been adjusted accordingly in the Revised 000s and Revised CPM</t>
    </r>
    <r>
      <rPr>
        <sz val="9.1999999999999993"/>
        <color indexed="8"/>
        <rFont val="Aptos"/>
        <family val="2"/>
      </rPr>
      <t>.</t>
    </r>
  </si>
  <si>
    <t>000s is thousands of Households estimated to be viewing each game</t>
  </si>
  <si>
    <t xml:space="preserve">In August 2026 a new Nieslsen methodology took effect called the 1-minute qualifier, meaning that a Household only has to watch 1 minute now instead of 5 minutes before for Nielsen to count them as a viewing Household. This means the Nielsen ratings  should increase, but by how much management is uncertain. Below are 3 projected increases, 15%, 20%, and 25%. </t>
  </si>
  <si>
    <t>Associated 1-Minute Qualifier Probabilities</t>
  </si>
  <si>
    <t>% Increase in 000s</t>
  </si>
  <si>
    <t>Probability of % Increase Occurring</t>
  </si>
  <si>
    <t>15% Increase</t>
  </si>
  <si>
    <t xml:space="preserve">These 000s are the original without any adjustments for the Nielsen 1-Minute qualifier, </t>
  </si>
  <si>
    <t>20% Increase</t>
  </si>
  <si>
    <t>25% Increase</t>
  </si>
  <si>
    <t xml:space="preserve">000s Decrreased </t>
  </si>
  <si>
    <t>IMPORTANT NOTE! These 000s are based off of the Revised 000s from the left, after adjusting for the low-interest games!</t>
  </si>
  <si>
    <t>15% Increased 000s</t>
  </si>
  <si>
    <t>20% Increased 000s</t>
  </si>
  <si>
    <t>25% Increased 000s</t>
  </si>
  <si>
    <t>15% Increased 000s CPM</t>
  </si>
  <si>
    <t>20% Increased 000s CPM</t>
  </si>
  <si>
    <t>25% Increased 000s CPM</t>
  </si>
  <si>
    <t>ID</t>
  </si>
  <si>
    <t>Prospect</t>
  </si>
  <si>
    <t>Salesperson</t>
  </si>
  <si>
    <t>Salesperson Close Ratio</t>
  </si>
  <si>
    <t>Goal CPM</t>
  </si>
  <si>
    <t xml:space="preserve">Underdelivery Penalty </t>
  </si>
  <si>
    <t>C01</t>
  </si>
  <si>
    <t>Car Dealer A</t>
  </si>
  <si>
    <t>SP1</t>
  </si>
  <si>
    <t>C02</t>
  </si>
  <si>
    <t>Car Dealer B</t>
  </si>
  <si>
    <t>SP2</t>
  </si>
  <si>
    <t>C03</t>
  </si>
  <si>
    <t>Grocery Store A</t>
  </si>
  <si>
    <t>C04</t>
  </si>
  <si>
    <t>Specialty Retail A</t>
  </si>
  <si>
    <t>SP3</t>
  </si>
  <si>
    <t>C05</t>
  </si>
  <si>
    <t>Fast Food A</t>
  </si>
  <si>
    <t>SP4</t>
  </si>
  <si>
    <t>C06</t>
  </si>
  <si>
    <t>Fast Food B</t>
  </si>
  <si>
    <t>SP5</t>
  </si>
  <si>
    <t>C07</t>
  </si>
  <si>
    <t>Grocery Store B</t>
  </si>
  <si>
    <t>C08</t>
  </si>
  <si>
    <t>Car Dealer C</t>
  </si>
  <si>
    <t>SP6</t>
  </si>
  <si>
    <t>C09</t>
  </si>
  <si>
    <t>Fast Food C</t>
  </si>
  <si>
    <t>C10</t>
  </si>
  <si>
    <t>Sporting Goods A</t>
  </si>
  <si>
    <t>C11</t>
  </si>
  <si>
    <t>Farm Equipment A</t>
  </si>
  <si>
    <t>C12</t>
  </si>
  <si>
    <t>Home Improvement A</t>
  </si>
  <si>
    <t>C13</t>
  </si>
  <si>
    <t>Bank A</t>
  </si>
  <si>
    <t>C14</t>
  </si>
  <si>
    <t>Furniture Store A</t>
  </si>
  <si>
    <t>C15</t>
  </si>
  <si>
    <t>Auto Parts A</t>
  </si>
  <si>
    <t>C16</t>
  </si>
  <si>
    <t>Insurance Agency A</t>
  </si>
  <si>
    <t>C17</t>
  </si>
  <si>
    <t>HVAC Company A</t>
  </si>
  <si>
    <t>C18</t>
  </si>
  <si>
    <t>Restaurant A</t>
  </si>
  <si>
    <t>C19</t>
  </si>
  <si>
    <t>Farm Supply A</t>
  </si>
  <si>
    <t>C20</t>
  </si>
  <si>
    <t>Credit Union A</t>
  </si>
  <si>
    <t>C21</t>
  </si>
  <si>
    <t>Outdoor Recreation A</t>
  </si>
  <si>
    <t>C22</t>
  </si>
  <si>
    <t>Beverage Distributor A</t>
  </si>
  <si>
    <t>C23</t>
  </si>
  <si>
    <t>Car Dealer D</t>
  </si>
  <si>
    <t>C24</t>
  </si>
  <si>
    <t>Grocery Store C</t>
  </si>
  <si>
    <t>C25</t>
  </si>
  <si>
    <t>Home Builder A</t>
  </si>
  <si>
    <t>C26</t>
  </si>
  <si>
    <t>Healthcare System A</t>
  </si>
  <si>
    <t>C27</t>
  </si>
  <si>
    <t>Wireless Retailer A</t>
  </si>
  <si>
    <t>C28</t>
  </si>
  <si>
    <t>Convenience Store A</t>
  </si>
  <si>
    <t>C29</t>
  </si>
  <si>
    <t>Ag Services A</t>
  </si>
  <si>
    <t>C30</t>
  </si>
  <si>
    <t>Financial Services A</t>
  </si>
  <si>
    <t xml:space="preserve">Hours Availble Week of 8/3/26 </t>
  </si>
  <si>
    <t xml:space="preserve">Number of Pre-Sells from Stage 1 </t>
  </si>
  <si>
    <t>Hours Required to handle Pre-Sell Makegood for 1 Client</t>
  </si>
  <si>
    <t>Feel free to play with the hours here to make things more interesting if you like</t>
  </si>
  <si>
    <t>Known after optimization of stage 1</t>
  </si>
  <si>
    <t>Known after optimization of stage 2</t>
  </si>
  <si>
    <t>Known after optimization of stage 3</t>
  </si>
  <si>
    <t>Known after optimization of stage 4</t>
  </si>
  <si>
    <t>Known after optimization of stage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</si>
</sst>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quot;$&quot;#,##0.00"/>
    <numFmt numFmtId="165" formatCode="0.0"/>
  </numFmts>
  <fonts count="13">
    <font>
      <sz val="8"/>
      <color indexed="8"/>
      <name val="Arial"/>
      <family val="2"/>
    </font>
    <font>
      <b/>
      <sz val="10"/>
      <color indexed="8"/>
      <name val="Arial"/>
      <family val="2"/>
    </font>
    <font>
      <sz val="8"/>
      <color indexed="8"/>
      <name val="Courier New"/>
      <family val="2"/>
    </font>
    <font>
      <sz val="8"/>
      <name val="Arial"/>
      <family val="2"/>
    </font>
    <font>
      <sz val="9.5"/>
      <color indexed="8"/>
      <name val="Aptos"/>
      <family val="2"/>
    </font>
    <font>
      <b/>
      <sz val="8"/>
      <color indexed="8"/>
      <name val="Arial"/>
      <family val="2"/>
    </font>
    <font>
      <sz val="9.1999999999999993"/>
      <color indexed="8"/>
      <name val="Aptos"/>
      <family val="2"/>
    </font>
    <font>
      <b/>
      <sz val="9.1999999999999993"/>
      <color rgb="FF000000"/>
      <name val="Aptos"/>
      <family val="2"/>
    </font>
    <font>
      <i/>
      <sz val="9.1999999999999993"/>
      <color rgb="FF000000"/>
      <name val="Aptos"/>
      <family val="2"/>
    </font>
    <font>
      <sz val="9.1999999999999993"/>
      <color rgb="FF000000"/>
      <name val="Aptos"/>
      <family val="2"/>
    </font>
    <font>
      <b/>
      <u/>
      <sz val="8"/>
      <color indexed="8"/>
      <name val="Arial"/>
      <family val="2"/>
    </font>
    <font>
      <b/>
      <sz val="8"/>
      <color rgb="FF000000"/>
      <name val="Aptos"/>
      <family val="2"/>
    </font>
    <font>
      <sz val="8"/>
      <color indexed="8"/>
      <name val="Aptos"/>
      <family val="2"/>
    </font>
  </fonts>
  <fills count="5">
    <fill>
      <patternFill patternType="none"/>
    </fill>
    <fill>
      <patternFill patternType="gray125"/>
    </fill>
    <fill>
      <patternFill patternType="solid">
        <fgColor indexed="26"/>
        <bgColor indexed="9"/>
      </patternFill>
    </fill>
    <fill>
      <patternFill patternType="solid">
        <fgColor rgb="FFFFFF00"/>
        <bgColor indexed="64"/>
      </patternFill>
    </fill>
    <fill>
      <patternFill patternType="solid">
        <fgColor rgb="FFD9EAF7"/>
        <bgColor indexed="64"/>
      </patternFill>
    </fill>
  </fills>
  <borders count="2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43">
    <xf numFmtId="0" fontId="0" fillId="0" borderId="0" xfId="0"/>
    <xf numFmtId="0" fontId="1" fillId="0" borderId="0" xfId="0" applyFont="1"/>
    <xf numFmtId="0" fontId="2" fillId="0" borderId="0" xfId="0" applyFont="1"/>
    <xf numFmtId="0" fontId="0" fillId="0" borderId="0" xfId="0" applyAlignment="1">
      <alignment horizontal="left"/>
    </xf>
    <xf numFmtId="165" fontId="0" fillId="0" borderId="0" xfId="0" applyNumberFormat="1" applyAlignment="1">
      <alignment horizontal="center"/>
    </xf>
    <xf numFmtId="0" fontId="0" fillId="2" borderId="0" xfId="0" applyFill="1" applyAlignment="1">
      <alignment horizontal="center"/>
    </xf>
    <xf numFmtId="164" fontId="0" fillId="0" borderId="0" xfId="0" applyNumberFormat="1"/>
    <xf numFmtId="0" fontId="5" fillId="0" borderId="0" xfId="0" applyFont="1"/>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2" borderId="1" xfId="0" applyFill="1" applyBorder="1"/>
    <xf numFmtId="0" fontId="0" fillId="2" borderId="2" xfId="0" applyFill="1" applyBorder="1"/>
    <xf numFmtId="0" fontId="0" fillId="2" borderId="2" xfId="0" applyFill="1" applyBorder="1" applyAlignment="1">
      <alignment horizontal="center" wrapText="1"/>
    </xf>
    <xf numFmtId="0" fontId="0" fillId="2" borderId="3" xfId="0" applyFill="1" applyBorder="1"/>
    <xf numFmtId="0" fontId="0" fillId="2" borderId="6" xfId="0" applyFill="1" applyBorder="1" applyAlignment="1">
      <alignment horizontal="center"/>
    </xf>
    <xf numFmtId="0" fontId="0" fillId="2" borderId="7" xfId="0" applyFill="1" applyBorder="1" applyAlignment="1">
      <alignment horizontal="center"/>
    </xf>
    <xf numFmtId="0" fontId="0" fillId="2" borderId="7" xfId="0" applyFill="1" applyBorder="1" applyAlignment="1">
      <alignment horizontal="center" wrapText="1"/>
    </xf>
    <xf numFmtId="0" fontId="0" fillId="2" borderId="8" xfId="0" applyFill="1" applyBorder="1" applyAlignment="1">
      <alignment horizontal="center" wrapText="1"/>
    </xf>
    <xf numFmtId="0" fontId="0" fillId="3" borderId="1" xfId="0" applyFill="1" applyBorder="1" applyAlignment="1">
      <alignment horizontal="center"/>
    </xf>
    <xf numFmtId="0" fontId="0" fillId="3" borderId="2" xfId="0" applyFill="1" applyBorder="1" applyAlignment="1">
      <alignment horizontal="center"/>
    </xf>
    <xf numFmtId="0" fontId="0" fillId="3" borderId="2" xfId="0" applyFill="1" applyBorder="1" applyAlignment="1">
      <alignment horizontal="left"/>
    </xf>
    <xf numFmtId="164" fontId="0" fillId="3" borderId="2" xfId="0" applyNumberFormat="1" applyFill="1" applyBorder="1" applyAlignment="1">
      <alignment horizontal="right"/>
    </xf>
    <xf numFmtId="165" fontId="0" fillId="3" borderId="2" xfId="0" applyNumberFormat="1" applyFill="1" applyBorder="1" applyAlignment="1">
      <alignment horizontal="center"/>
    </xf>
    <xf numFmtId="164" fontId="0" fillId="3" borderId="2" xfId="0" applyNumberFormat="1" applyFill="1" applyBorder="1" applyAlignment="1">
      <alignment horizontal="center"/>
    </xf>
    <xf numFmtId="165" fontId="0" fillId="3" borderId="3" xfId="0" applyNumberFormat="1" applyFill="1" applyBorder="1" applyAlignment="1">
      <alignment horizontal="center"/>
    </xf>
    <xf numFmtId="0" fontId="0" fillId="3" borderId="4" xfId="0" applyFill="1" applyBorder="1" applyAlignment="1">
      <alignment horizontal="center"/>
    </xf>
    <xf numFmtId="0" fontId="0" fillId="3" borderId="0" xfId="0" applyFill="1" applyAlignment="1">
      <alignment horizontal="center"/>
    </xf>
    <xf numFmtId="0" fontId="0" fillId="3" borderId="0" xfId="0" applyFill="1" applyAlignment="1">
      <alignment horizontal="left"/>
    </xf>
    <xf numFmtId="164" fontId="0" fillId="3" borderId="0" xfId="0" applyNumberFormat="1" applyFill="1" applyAlignment="1">
      <alignment horizontal="right"/>
    </xf>
    <xf numFmtId="165" fontId="0" fillId="3" borderId="0" xfId="0" applyNumberFormat="1" applyFill="1" applyAlignment="1">
      <alignment horizontal="center"/>
    </xf>
    <xf numFmtId="164" fontId="0" fillId="3" borderId="0" xfId="0" applyNumberFormat="1" applyFill="1" applyAlignment="1">
      <alignment horizontal="center"/>
    </xf>
    <xf numFmtId="165" fontId="0" fillId="3" borderId="5" xfId="0" applyNumberFormat="1"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0" fillId="3" borderId="7" xfId="0" applyFill="1" applyBorder="1" applyAlignment="1">
      <alignment horizontal="left"/>
    </xf>
    <xf numFmtId="164" fontId="0" fillId="3" borderId="7" xfId="0" applyNumberFormat="1" applyFill="1" applyBorder="1" applyAlignment="1">
      <alignment horizontal="right"/>
    </xf>
    <xf numFmtId="165" fontId="0" fillId="3" borderId="7" xfId="0" applyNumberFormat="1" applyFill="1" applyBorder="1" applyAlignment="1">
      <alignment horizontal="center"/>
    </xf>
    <xf numFmtId="164" fontId="0" fillId="3" borderId="7" xfId="0" applyNumberFormat="1" applyFill="1" applyBorder="1" applyAlignment="1">
      <alignment horizontal="center"/>
    </xf>
    <xf numFmtId="165" fontId="0" fillId="3" borderId="8" xfId="0" applyNumberFormat="1" applyFill="1" applyBorder="1" applyAlignment="1">
      <alignment horizontal="center"/>
    </xf>
    <xf numFmtId="164" fontId="5" fillId="0" borderId="6" xfId="0" applyNumberFormat="1" applyFont="1" applyBorder="1"/>
    <xf numFmtId="165" fontId="5" fillId="0" borderId="8" xfId="0" applyNumberFormat="1" applyFont="1" applyBorder="1" applyAlignment="1">
      <alignment horizontal="center"/>
    </xf>
    <xf numFmtId="0" fontId="0" fillId="2" borderId="7" xfId="0" applyFill="1" applyBorder="1" applyAlignment="1">
      <alignment horizontal="left"/>
    </xf>
    <xf numFmtId="0" fontId="0" fillId="0" borderId="2" xfId="0" applyBorder="1"/>
    <xf numFmtId="0" fontId="0" fillId="0" borderId="3" xfId="0" applyBorder="1"/>
    <xf numFmtId="0" fontId="0" fillId="0" borderId="5" xfId="0" applyBorder="1"/>
    <xf numFmtId="0" fontId="0" fillId="0" borderId="0" xfId="0" applyAlignment="1">
      <alignment vertical="center"/>
    </xf>
    <xf numFmtId="0" fontId="0" fillId="0" borderId="9" xfId="0" applyBorder="1" applyAlignment="1">
      <alignment horizontal="left"/>
    </xf>
    <xf numFmtId="0" fontId="0" fillId="2" borderId="2" xfId="0" applyFill="1" applyBorder="1" applyAlignment="1">
      <alignment horizontal="center"/>
    </xf>
    <xf numFmtId="164" fontId="0" fillId="3" borderId="3" xfId="0" applyNumberFormat="1" applyFill="1" applyBorder="1" applyAlignment="1">
      <alignment horizontal="right"/>
    </xf>
    <xf numFmtId="164" fontId="0" fillId="3" borderId="5" xfId="0" applyNumberFormat="1" applyFill="1" applyBorder="1" applyAlignment="1">
      <alignment horizontal="right"/>
    </xf>
    <xf numFmtId="164" fontId="0" fillId="3" borderId="8" xfId="0" applyNumberFormat="1" applyFill="1" applyBorder="1" applyAlignment="1">
      <alignment horizontal="right"/>
    </xf>
    <xf numFmtId="0" fontId="0" fillId="2" borderId="3" xfId="0" applyFill="1" applyBorder="1" applyAlignment="1">
      <alignment horizontal="center" wrapText="1"/>
    </xf>
    <xf numFmtId="164" fontId="0" fillId="3" borderId="11" xfId="0" applyNumberFormat="1" applyFill="1" applyBorder="1" applyAlignment="1">
      <alignment horizontal="center"/>
    </xf>
    <xf numFmtId="164" fontId="0" fillId="3" borderId="12" xfId="0" applyNumberFormat="1" applyFill="1" applyBorder="1" applyAlignment="1">
      <alignment horizontal="center"/>
    </xf>
    <xf numFmtId="164" fontId="0" fillId="3" borderId="10" xfId="0" applyNumberFormat="1" applyFill="1" applyBorder="1" applyAlignment="1">
      <alignment horizontal="center"/>
    </xf>
    <xf numFmtId="164" fontId="5" fillId="0" borderId="8" xfId="0" applyNumberFormat="1" applyFont="1" applyBorder="1" applyAlignment="1">
      <alignment horizontal="center"/>
    </xf>
    <xf numFmtId="164" fontId="0" fillId="0" borderId="10" xfId="0" applyNumberFormat="1" applyBorder="1"/>
    <xf numFmtId="165" fontId="0" fillId="0" borderId="10" xfId="0" applyNumberFormat="1" applyBorder="1" applyAlignment="1">
      <alignment horizontal="center"/>
    </xf>
    <xf numFmtId="164" fontId="0" fillId="0" borderId="10" xfId="0" applyNumberFormat="1" applyBorder="1" applyAlignment="1">
      <alignment horizontal="center"/>
    </xf>
    <xf numFmtId="0" fontId="0" fillId="2" borderId="4" xfId="0" applyFill="1" applyBorder="1" applyAlignment="1">
      <alignment horizontal="center"/>
    </xf>
    <xf numFmtId="0" fontId="0" fillId="2" borderId="1" xfId="0" applyFill="1" applyBorder="1" applyAlignment="1">
      <alignment horizontal="center" wrapText="1"/>
    </xf>
    <xf numFmtId="0" fontId="0" fillId="0" borderId="7" xfId="0" applyBorder="1" applyAlignment="1">
      <alignment vertical="center"/>
    </xf>
    <xf numFmtId="165" fontId="0" fillId="3" borderId="1" xfId="0" applyNumberFormat="1" applyFill="1" applyBorder="1"/>
    <xf numFmtId="165" fontId="0" fillId="3" borderId="2" xfId="0" applyNumberFormat="1" applyFill="1" applyBorder="1"/>
    <xf numFmtId="2" fontId="0" fillId="3" borderId="2" xfId="0" applyNumberFormat="1" applyFill="1" applyBorder="1"/>
    <xf numFmtId="164" fontId="0" fillId="3" borderId="2" xfId="0" applyNumberFormat="1" applyFill="1" applyBorder="1"/>
    <xf numFmtId="164" fontId="0" fillId="3" borderId="3" xfId="0" applyNumberFormat="1" applyFill="1" applyBorder="1"/>
    <xf numFmtId="165" fontId="0" fillId="3" borderId="4" xfId="0" applyNumberFormat="1" applyFill="1" applyBorder="1"/>
    <xf numFmtId="165" fontId="0" fillId="3" borderId="0" xfId="0" applyNumberFormat="1" applyFill="1"/>
    <xf numFmtId="2" fontId="0" fillId="3" borderId="0" xfId="0" applyNumberFormat="1" applyFill="1"/>
    <xf numFmtId="164" fontId="0" fillId="3" borderId="0" xfId="0" applyNumberFormat="1" applyFill="1"/>
    <xf numFmtId="164" fontId="0" fillId="3" borderId="5" xfId="0" applyNumberFormat="1" applyFill="1" applyBorder="1"/>
    <xf numFmtId="165" fontId="0" fillId="3" borderId="6" xfId="0" applyNumberFormat="1" applyFill="1" applyBorder="1"/>
    <xf numFmtId="165" fontId="0" fillId="3" borderId="7" xfId="0" applyNumberFormat="1" applyFill="1" applyBorder="1"/>
    <xf numFmtId="2" fontId="0" fillId="3" borderId="7" xfId="0" applyNumberFormat="1" applyFill="1" applyBorder="1"/>
    <xf numFmtId="164" fontId="0" fillId="3" borderId="7" xfId="0" applyNumberFormat="1" applyFill="1" applyBorder="1"/>
    <xf numFmtId="164" fontId="0" fillId="3" borderId="8" xfId="0" applyNumberFormat="1" applyFill="1" applyBorder="1"/>
    <xf numFmtId="165" fontId="0" fillId="0" borderId="10" xfId="0" applyNumberFormat="1" applyBorder="1"/>
    <xf numFmtId="0" fontId="0" fillId="0" borderId="18" xfId="0" applyBorder="1" applyAlignment="1">
      <alignment horizontal="center"/>
    </xf>
    <xf numFmtId="9" fontId="0" fillId="0" borderId="19" xfId="0" applyNumberFormat="1" applyBorder="1" applyAlignment="1">
      <alignment horizontal="center"/>
    </xf>
    <xf numFmtId="0" fontId="0" fillId="0" borderId="20" xfId="0" applyBorder="1" applyAlignment="1">
      <alignment horizontal="center"/>
    </xf>
    <xf numFmtId="9" fontId="0" fillId="0" borderId="21" xfId="0" applyNumberFormat="1" applyBorder="1" applyAlignment="1">
      <alignment horizontal="center"/>
    </xf>
    <xf numFmtId="0" fontId="10" fillId="0" borderId="16" xfId="0" applyFont="1" applyBorder="1" applyAlignment="1">
      <alignment horizontal="center"/>
    </xf>
    <xf numFmtId="0" fontId="10" fillId="0" borderId="17" xfId="0" applyFont="1" applyBorder="1" applyAlignment="1">
      <alignment horizontal="center"/>
    </xf>
    <xf numFmtId="0" fontId="12" fillId="0" borderId="10" xfId="0" applyFont="1" applyBorder="1" applyAlignment="1">
      <alignment horizontal="center" vertical="center" wrapText="1"/>
    </xf>
    <xf numFmtId="0" fontId="12" fillId="0" borderId="8" xfId="0" applyFont="1" applyBorder="1" applyAlignment="1">
      <alignment horizontal="center" vertical="center" wrapText="1"/>
    </xf>
    <xf numFmtId="9" fontId="12" fillId="0" borderId="8" xfId="0" applyNumberFormat="1" applyFont="1" applyBorder="1" applyAlignment="1">
      <alignment horizontal="center" vertical="center" wrapText="1"/>
    </xf>
    <xf numFmtId="8" fontId="12" fillId="0" borderId="8" xfId="0" applyNumberFormat="1" applyFont="1" applyBorder="1" applyAlignment="1">
      <alignment horizontal="center" vertical="center" wrapText="1"/>
    </xf>
    <xf numFmtId="0" fontId="11" fillId="4" borderId="14" xfId="0" applyFont="1" applyFill="1" applyBorder="1" applyAlignment="1">
      <alignment horizontal="center" vertical="center" wrapText="1"/>
    </xf>
    <xf numFmtId="0" fontId="11" fillId="4" borderId="9" xfId="0" applyFont="1" applyFill="1" applyBorder="1" applyAlignment="1">
      <alignment horizontal="center" vertical="center" wrapText="1"/>
    </xf>
    <xf numFmtId="10" fontId="12" fillId="0" borderId="8" xfId="0" applyNumberFormat="1" applyFont="1" applyBorder="1" applyAlignment="1">
      <alignment horizontal="center" vertical="center" wrapText="1"/>
    </xf>
    <xf numFmtId="0" fontId="12" fillId="0" borderId="9" xfId="0" applyFont="1" applyBorder="1" applyAlignment="1">
      <alignment horizontal="center" vertical="center" wrapText="1"/>
    </xf>
    <xf numFmtId="2" fontId="12" fillId="0" borderId="8" xfId="0" applyNumberFormat="1" applyFont="1" applyBorder="1" applyAlignment="1">
      <alignment horizontal="center" vertical="center" wrapText="1"/>
    </xf>
    <xf numFmtId="0" fontId="4" fillId="0" borderId="0" xfId="0" applyFont="1" applyAlignment="1">
      <alignment vertical="center" wrapText="1"/>
    </xf>
    <xf numFmtId="0" fontId="0" fillId="2" borderId="2" xfId="0" applyFill="1" applyBorder="1" applyAlignment="1">
      <alignment horizontal="center" wrapText="1"/>
    </xf>
    <xf numFmtId="0" fontId="0" fillId="2" borderId="0" xfId="0" applyFill="1" applyAlignment="1">
      <alignment horizontal="center" wrapText="1"/>
    </xf>
    <xf numFmtId="0" fontId="6" fillId="0" borderId="1" xfId="0" applyFont="1" applyBorder="1" applyAlignment="1">
      <alignment horizontal="left"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0" xfId="0" applyFont="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0" fillId="0" borderId="13" xfId="0" applyBorder="1" applyAlignment="1">
      <alignment horizontal="center"/>
    </xf>
    <xf numFmtId="0" fontId="0" fillId="0" borderId="14" xfId="0" applyBorder="1" applyAlignment="1">
      <alignment horizontal="center"/>
    </xf>
    <xf numFmtId="0" fontId="5" fillId="3" borderId="1" xfId="0" applyFont="1" applyFill="1" applyBorder="1" applyAlignment="1">
      <alignment horizontal="left" vertical="center" wrapText="1"/>
    </xf>
    <xf numFmtId="0" fontId="5" fillId="3" borderId="2" xfId="0" applyFont="1" applyFill="1" applyBorder="1" applyAlignment="1">
      <alignment horizontal="left" vertical="center" wrapText="1"/>
    </xf>
    <xf numFmtId="0" fontId="5" fillId="3" borderId="3" xfId="0" applyFont="1" applyFill="1" applyBorder="1" applyAlignment="1">
      <alignment horizontal="left" vertical="center" wrapText="1"/>
    </xf>
    <xf numFmtId="0" fontId="5" fillId="3" borderId="4" xfId="0" applyFont="1" applyFill="1" applyBorder="1" applyAlignment="1">
      <alignment horizontal="left" vertical="center" wrapText="1"/>
    </xf>
    <xf numFmtId="0" fontId="5" fillId="3" borderId="0" xfId="0" applyFont="1" applyFill="1" applyAlignment="1">
      <alignment horizontal="left" vertical="center" wrapText="1"/>
    </xf>
    <xf numFmtId="0" fontId="5" fillId="3" borderId="5" xfId="0" applyFont="1" applyFill="1" applyBorder="1" applyAlignment="1">
      <alignment horizontal="left" vertical="center" wrapText="1"/>
    </xf>
    <xf numFmtId="0" fontId="5" fillId="3" borderId="6" xfId="0" applyFont="1" applyFill="1" applyBorder="1" applyAlignment="1">
      <alignment horizontal="left" vertical="center" wrapText="1"/>
    </xf>
    <xf numFmtId="0" fontId="5" fillId="3" borderId="7" xfId="0" applyFont="1" applyFill="1" applyBorder="1" applyAlignment="1">
      <alignment horizontal="left" vertical="center" wrapText="1"/>
    </xf>
    <xf numFmtId="0" fontId="5" fillId="3" borderId="8"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2" borderId="13"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0" fillId="2" borderId="7" xfId="0" applyFill="1" applyBorder="1" applyAlignment="1">
      <alignment horizontal="center" wrapText="1"/>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2" borderId="3" xfId="0" applyFill="1" applyBorder="1" applyAlignment="1">
      <alignment horizontal="center" wrapText="1"/>
    </xf>
    <xf numFmtId="0" fontId="0" fillId="2" borderId="5" xfId="0" applyFill="1" applyBorder="1" applyAlignment="1">
      <alignment horizontal="center" wrapText="1"/>
    </xf>
    <xf numFmtId="0" fontId="0" fillId="0" borderId="0" xfId="0" applyAlignment="1">
      <alignment horizontal="center" wrapText="1"/>
    </xf>
    <xf numFmtId="0" fontId="0" fillId="0" borderId="6" xfId="0" applyBorder="1" applyAlignment="1"/>
    <xf numFmtId="0" fontId="0" fillId="0" borderId="7" xfId="0" applyBorder="1" applyAlignment="1"/>
    <xf numFmtId="0" fontId="0" fillId="0" borderId="8" xfId="0" applyBorder="1" applyAlignme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EECE1"/>
      <rgbColor rgb="00993366"/>
      <rgbColor rgb="00EEECE1"/>
      <rgbColor rgb="00E8F1FA"/>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8</xdr:col>
      <xdr:colOff>419100</xdr:colOff>
      <xdr:row>10</xdr:row>
      <xdr:rowOff>190500</xdr:rowOff>
    </xdr:from>
    <xdr:to>
      <xdr:col>12</xdr:col>
      <xdr:colOff>336550</xdr:colOff>
      <xdr:row>11</xdr:row>
      <xdr:rowOff>31750</xdr:rowOff>
    </xdr:to>
    <xdr:cxnSp macro="">
      <xdr:nvCxnSpPr>
        <xdr:cNvPr id="3" name="Straight Arrow Connector 2">
          <a:extLst>
            <a:ext uri="{FF2B5EF4-FFF2-40B4-BE49-F238E27FC236}">
              <a16:creationId xmlns:a16="http://schemas.microsoft.com/office/drawing/2014/main" id="{18F160C1-D8E7-6A92-22E4-4BC23A3331A0}"/>
            </a:ext>
          </a:extLst>
        </xdr:cNvPr>
        <xdr:cNvCxnSpPr/>
      </xdr:nvCxnSpPr>
      <xdr:spPr>
        <a:xfrm flipV="1">
          <a:off x="6121400" y="1555750"/>
          <a:ext cx="1981200" cy="2222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36D6C-7488-4B5F-8A0C-3E60254AB78B}">
  <dimension ref="B2:R24"/>
  <sheetViews>
    <sheetView showGridLines="0" zoomScale="145" zoomScaleNormal="145" workbookViewId="0">
      <selection activeCell="C38" sqref="C38"/>
    </sheetView>
  </sheetViews>
  <sheetFormatPr defaultRowHeight="9.9499999999999993"/>
  <cols>
    <col min="2" max="2" width="8" customWidth="1"/>
    <col min="3" max="3" width="33.6640625" customWidth="1"/>
    <col min="4" max="4" width="22" customWidth="1"/>
    <col min="5" max="5" width="6.5" customWidth="1"/>
    <col min="6" max="6" width="11" customWidth="1"/>
    <col min="7" max="7" width="7" customWidth="1"/>
    <col min="8" max="8" width="10.83203125" customWidth="1"/>
    <col min="9" max="9" width="10.83203125" bestFit="1" customWidth="1"/>
    <col min="11" max="11" width="11.5" bestFit="1" customWidth="1"/>
  </cols>
  <sheetData>
    <row r="2" spans="2:12" ht="10.5">
      <c r="B2" s="7" t="s">
        <v>0</v>
      </c>
    </row>
    <row r="4" spans="2:12" ht="12.95">
      <c r="B4" s="1" t="s">
        <v>1</v>
      </c>
    </row>
    <row r="5" spans="2:12" ht="10.5">
      <c r="B5" s="2" t="s">
        <v>2</v>
      </c>
      <c r="F5" s="2" t="s">
        <v>3</v>
      </c>
    </row>
    <row r="6" spans="2:12" ht="10.5">
      <c r="B6" s="2" t="s">
        <v>4</v>
      </c>
      <c r="F6" s="2"/>
    </row>
    <row r="7" spans="2:12" ht="10.5">
      <c r="B7" s="2" t="s">
        <v>5</v>
      </c>
    </row>
    <row r="8" spans="2:12" ht="10.5">
      <c r="B8" s="2" t="s">
        <v>6</v>
      </c>
    </row>
    <row r="9" spans="2:12" ht="10.5">
      <c r="B9" s="2" t="s">
        <v>7</v>
      </c>
    </row>
    <row r="10" spans="2:12" ht="10.5" thickBot="1"/>
    <row r="11" spans="2:12">
      <c r="B11" s="12"/>
      <c r="C11" s="13"/>
      <c r="D11" s="13"/>
      <c r="E11" s="96" t="s">
        <v>8</v>
      </c>
      <c r="F11" s="13"/>
      <c r="G11" s="96" t="s">
        <v>9</v>
      </c>
      <c r="H11" s="13"/>
      <c r="I11" s="13"/>
      <c r="J11" s="13"/>
      <c r="K11" s="15"/>
    </row>
    <row r="12" spans="2:12" ht="20.45" thickBot="1">
      <c r="B12" s="16" t="s">
        <v>10</v>
      </c>
      <c r="C12" s="43" t="s">
        <v>11</v>
      </c>
      <c r="D12" s="17" t="s">
        <v>12</v>
      </c>
      <c r="E12" s="133"/>
      <c r="F12" s="17" t="s">
        <v>13</v>
      </c>
      <c r="G12" s="133"/>
      <c r="H12" s="18" t="s">
        <v>14</v>
      </c>
      <c r="I12" s="18" t="s">
        <v>15</v>
      </c>
      <c r="J12" s="18" t="s">
        <v>16</v>
      </c>
      <c r="K12" s="19" t="s">
        <v>17</v>
      </c>
    </row>
    <row r="13" spans="2:12">
      <c r="B13" s="20" t="s">
        <v>18</v>
      </c>
      <c r="C13" s="22" t="s">
        <v>19</v>
      </c>
      <c r="D13" s="22" t="s">
        <v>20</v>
      </c>
      <c r="E13" s="22">
        <v>1</v>
      </c>
      <c r="F13" s="23">
        <v>7000</v>
      </c>
      <c r="G13" s="21" t="s">
        <v>21</v>
      </c>
      <c r="H13" s="24">
        <v>88.48</v>
      </c>
      <c r="I13" s="25">
        <f>E13*F13</f>
        <v>7000</v>
      </c>
      <c r="J13" s="26">
        <f>E13*H13</f>
        <v>88.48</v>
      </c>
      <c r="K13" s="54">
        <f>I13/J13</f>
        <v>79.113924050632903</v>
      </c>
    </row>
    <row r="14" spans="2:12">
      <c r="B14" s="27" t="s">
        <v>18</v>
      </c>
      <c r="C14" s="29" t="s">
        <v>22</v>
      </c>
      <c r="D14" s="29" t="s">
        <v>23</v>
      </c>
      <c r="E14" s="29">
        <v>9</v>
      </c>
      <c r="F14" s="30">
        <v>1500</v>
      </c>
      <c r="G14" s="28" t="s">
        <v>21</v>
      </c>
      <c r="H14" s="31">
        <v>39.1</v>
      </c>
      <c r="I14" s="32">
        <f t="shared" ref="I14:I17" si="0">E14*F14</f>
        <v>13500</v>
      </c>
      <c r="J14" s="33">
        <f t="shared" ref="J14:K17" si="1">E14*H14</f>
        <v>351.90000000000003</v>
      </c>
      <c r="K14" s="55">
        <f t="shared" ref="K14:K17" si="2">I14/J14</f>
        <v>38.363171355498714</v>
      </c>
    </row>
    <row r="15" spans="2:12">
      <c r="B15" s="27" t="s">
        <v>18</v>
      </c>
      <c r="C15" s="29" t="s">
        <v>24</v>
      </c>
      <c r="D15" s="29" t="s">
        <v>23</v>
      </c>
      <c r="E15" s="29">
        <v>7</v>
      </c>
      <c r="F15" s="30">
        <v>5500</v>
      </c>
      <c r="G15" s="28" t="s">
        <v>21</v>
      </c>
      <c r="H15" s="31">
        <v>59.360000000000007</v>
      </c>
      <c r="I15" s="32">
        <f t="shared" si="0"/>
        <v>38500</v>
      </c>
      <c r="J15" s="33">
        <f t="shared" si="1"/>
        <v>415.52000000000004</v>
      </c>
      <c r="K15" s="55">
        <f t="shared" si="2"/>
        <v>92.654986522911045</v>
      </c>
      <c r="L15" s="3"/>
    </row>
    <row r="16" spans="2:12">
      <c r="B16" s="27" t="s">
        <v>18</v>
      </c>
      <c r="C16" s="29" t="s">
        <v>25</v>
      </c>
      <c r="D16" s="29" t="s">
        <v>26</v>
      </c>
      <c r="E16" s="29">
        <v>4</v>
      </c>
      <c r="F16" s="30">
        <v>4000</v>
      </c>
      <c r="G16" s="28" t="s">
        <v>21</v>
      </c>
      <c r="H16" s="31">
        <v>69.2</v>
      </c>
      <c r="I16" s="32">
        <f t="shared" si="0"/>
        <v>16000</v>
      </c>
      <c r="J16" s="33">
        <f t="shared" si="1"/>
        <v>276.8</v>
      </c>
      <c r="K16" s="55">
        <f t="shared" si="2"/>
        <v>57.803468208092482</v>
      </c>
    </row>
    <row r="17" spans="2:18" ht="10.5" thickBot="1">
      <c r="B17" s="34" t="s">
        <v>18</v>
      </c>
      <c r="C17" s="36" t="s">
        <v>27</v>
      </c>
      <c r="D17" s="36" t="s">
        <v>26</v>
      </c>
      <c r="E17" s="36">
        <v>6</v>
      </c>
      <c r="F17" s="37">
        <v>5500</v>
      </c>
      <c r="G17" s="35" t="s">
        <v>21</v>
      </c>
      <c r="H17" s="38">
        <v>83.1</v>
      </c>
      <c r="I17" s="39">
        <f t="shared" si="0"/>
        <v>33000</v>
      </c>
      <c r="J17" s="40">
        <f t="shared" si="1"/>
        <v>498.59999999999997</v>
      </c>
      <c r="K17" s="56">
        <f t="shared" si="2"/>
        <v>66.185318892900128</v>
      </c>
      <c r="L17" s="3"/>
    </row>
    <row r="18" spans="2:18" ht="11.1" thickBot="1">
      <c r="E18" s="48">
        <f>SUM(E13:E17)</f>
        <v>27</v>
      </c>
      <c r="I18" s="41">
        <f>SUM(I13:I17)</f>
        <v>108000</v>
      </c>
      <c r="J18" s="42">
        <f>SUM(J13:J17)</f>
        <v>1631.3</v>
      </c>
      <c r="K18" s="57">
        <f>I18/J18</f>
        <v>66.204867283761416</v>
      </c>
      <c r="L18" s="3"/>
      <c r="R18" s="6"/>
    </row>
    <row r="19" spans="2:18" ht="10.5" thickBot="1">
      <c r="I19" s="6"/>
      <c r="J19" s="4"/>
      <c r="L19" s="3"/>
    </row>
    <row r="20" spans="2:18">
      <c r="B20" s="8" t="s">
        <v>28</v>
      </c>
      <c r="C20" s="9"/>
      <c r="D20" s="10"/>
      <c r="E20" s="44"/>
      <c r="F20" s="44"/>
      <c r="G20" s="44"/>
      <c r="H20" s="44"/>
      <c r="I20" s="44"/>
      <c r="J20" s="45"/>
      <c r="Q20" s="6"/>
    </row>
    <row r="21" spans="2:18">
      <c r="B21" s="11" t="s">
        <v>29</v>
      </c>
      <c r="C21" s="3"/>
      <c r="D21" s="3"/>
      <c r="J21" s="46"/>
    </row>
    <row r="22" spans="2:18">
      <c r="B22" s="11" t="s">
        <v>30</v>
      </c>
      <c r="C22" s="3"/>
      <c r="D22" s="3"/>
      <c r="J22" s="46"/>
    </row>
    <row r="23" spans="2:18">
      <c r="B23" s="11" t="s">
        <v>31</v>
      </c>
      <c r="J23" s="46"/>
    </row>
    <row r="24" spans="2:18" ht="10.5" thickBot="1">
      <c r="B24" s="134" t="s">
        <v>32</v>
      </c>
      <c r="C24" s="135"/>
      <c r="D24" s="135"/>
      <c r="E24" s="135"/>
      <c r="F24" s="135"/>
      <c r="G24" s="135"/>
      <c r="H24" s="135"/>
      <c r="I24" s="135"/>
      <c r="J24" s="136"/>
    </row>
  </sheetData>
  <mergeCells count="3">
    <mergeCell ref="E11:E12"/>
    <mergeCell ref="G11:G12"/>
    <mergeCell ref="B24:J24"/>
  </mergeCells>
  <phoneticPr fontId="3" type="noConversion"/>
  <pageMargins left="0.25" right="0.25" top="0.5" bottom="0.75" header="0.25" footer="0.25"/>
  <pageSetup pageOrder="overThenDown" orientation="landscape" copies="0"/>
  <headerFooter alignWithMargins="0">
    <oddHeader>&amp;LNFL Ad PKG&amp;RAuthor: Ed Underberg</oddHeader>
    <oddFooter>&amp;"Arial Narrow" &amp;06 &amp;LData © Nielsen Company &amp;CPrepared with WO Media Sales, © WideOrbit Inc. &amp;R&amp;P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6296B-38CD-48DB-805C-C9D15875D9A3}">
  <dimension ref="B2:M50"/>
  <sheetViews>
    <sheetView showGridLines="0" zoomScale="130" zoomScaleNormal="130" workbookViewId="0">
      <selection activeCell="M31" sqref="M31"/>
    </sheetView>
  </sheetViews>
  <sheetFormatPr defaultRowHeight="9.9499999999999993"/>
  <cols>
    <col min="2" max="3" width="8" customWidth="1"/>
    <col min="4" max="4" width="33" customWidth="1"/>
    <col min="5" max="5" width="15" bestFit="1" customWidth="1"/>
    <col min="6" max="6" width="11" customWidth="1"/>
    <col min="7" max="7" width="7" customWidth="1"/>
    <col min="8" max="8" width="8.83203125" customWidth="1"/>
    <col min="9" max="9" width="8.1640625" customWidth="1"/>
    <col min="10" max="10" width="10.1640625" customWidth="1"/>
    <col min="11" max="11" width="9" customWidth="1"/>
  </cols>
  <sheetData>
    <row r="2" spans="2:13" ht="10.5">
      <c r="B2" s="7" t="s">
        <v>33</v>
      </c>
    </row>
    <row r="4" spans="2:13" ht="12.95">
      <c r="B4" s="1" t="s">
        <v>34</v>
      </c>
    </row>
    <row r="5" spans="2:13" ht="10.5">
      <c r="B5" s="2" t="s">
        <v>2</v>
      </c>
      <c r="E5" s="2" t="s">
        <v>3</v>
      </c>
    </row>
    <row r="6" spans="2:13" ht="10.5">
      <c r="B6" s="2" t="s">
        <v>4</v>
      </c>
      <c r="E6" s="2"/>
    </row>
    <row r="7" spans="2:13" ht="10.5">
      <c r="B7" s="2" t="s">
        <v>5</v>
      </c>
    </row>
    <row r="8" spans="2:13" ht="10.5">
      <c r="B8" s="2" t="s">
        <v>6</v>
      </c>
    </row>
    <row r="9" spans="2:13" ht="10.5">
      <c r="B9" s="2" t="s">
        <v>7</v>
      </c>
    </row>
    <row r="10" spans="2:13" ht="10.5" thickBot="1"/>
    <row r="11" spans="2:13" ht="30" customHeight="1">
      <c r="B11" s="12"/>
      <c r="C11" s="13"/>
      <c r="D11" s="13"/>
      <c r="E11" s="13"/>
      <c r="F11" s="13"/>
      <c r="G11" s="49" t="s">
        <v>35</v>
      </c>
      <c r="H11" s="96" t="s">
        <v>36</v>
      </c>
      <c r="I11" s="96" t="s">
        <v>37</v>
      </c>
      <c r="J11" s="96" t="s">
        <v>38</v>
      </c>
      <c r="K11" s="96" t="s">
        <v>39</v>
      </c>
      <c r="L11" s="137" t="s">
        <v>40</v>
      </c>
    </row>
    <row r="12" spans="2:13" ht="10.5" thickBot="1">
      <c r="B12" s="61" t="s">
        <v>10</v>
      </c>
      <c r="C12" s="5" t="s">
        <v>41</v>
      </c>
      <c r="D12" s="5" t="s">
        <v>11</v>
      </c>
      <c r="E12" s="5" t="s">
        <v>12</v>
      </c>
      <c r="F12" s="5" t="s">
        <v>13</v>
      </c>
      <c r="G12" s="5" t="s">
        <v>42</v>
      </c>
      <c r="H12" s="97"/>
      <c r="I12" s="97"/>
      <c r="J12" s="97"/>
      <c r="K12" s="97"/>
      <c r="L12" s="138"/>
    </row>
    <row r="13" spans="2:13">
      <c r="B13" s="20" t="s">
        <v>18</v>
      </c>
      <c r="C13" s="21">
        <v>1</v>
      </c>
      <c r="D13" s="22" t="s">
        <v>43</v>
      </c>
      <c r="E13" s="22" t="s">
        <v>20</v>
      </c>
      <c r="F13" s="23">
        <v>7000</v>
      </c>
      <c r="G13" s="21" t="s">
        <v>21</v>
      </c>
      <c r="H13" s="24">
        <v>88.48</v>
      </c>
      <c r="I13" s="24">
        <v>88.48</v>
      </c>
      <c r="J13" s="24">
        <f>H13-I13</f>
        <v>0</v>
      </c>
      <c r="K13" s="25">
        <f>F13/H13</f>
        <v>79.113924050632903</v>
      </c>
      <c r="L13" s="50">
        <f>F13/I13</f>
        <v>79.113924050632903</v>
      </c>
      <c r="M13" s="4"/>
    </row>
    <row r="14" spans="2:13">
      <c r="B14" s="27" t="s">
        <v>18</v>
      </c>
      <c r="C14" s="28">
        <f>C13+1</f>
        <v>2</v>
      </c>
      <c r="D14" s="29" t="s">
        <v>44</v>
      </c>
      <c r="E14" s="29" t="s">
        <v>23</v>
      </c>
      <c r="F14" s="30">
        <v>5500</v>
      </c>
      <c r="G14" s="28" t="s">
        <v>21</v>
      </c>
      <c r="H14" s="31">
        <v>59.360000000000007</v>
      </c>
      <c r="I14" s="31">
        <f>H14*0.7</f>
        <v>41.552</v>
      </c>
      <c r="J14" s="31">
        <f>H14-I14</f>
        <v>17.808000000000007</v>
      </c>
      <c r="K14" s="32">
        <f t="shared" ref="K14:K39" si="0">F14/H14</f>
        <v>92.654986522911045</v>
      </c>
      <c r="L14" s="51">
        <f t="shared" ref="L14:L39" si="1">F14/I14</f>
        <v>132.3642664613015</v>
      </c>
      <c r="M14" s="4"/>
    </row>
    <row r="15" spans="2:13">
      <c r="B15" s="27" t="s">
        <v>18</v>
      </c>
      <c r="C15" s="28">
        <f t="shared" ref="C15:C39" si="2">C14+1</f>
        <v>3</v>
      </c>
      <c r="D15" s="29" t="s">
        <v>45</v>
      </c>
      <c r="E15" s="29" t="s">
        <v>23</v>
      </c>
      <c r="F15" s="30">
        <v>5500</v>
      </c>
      <c r="G15" s="28" t="s">
        <v>21</v>
      </c>
      <c r="H15" s="31">
        <v>59.360000000000007</v>
      </c>
      <c r="I15" s="31">
        <f>H15*0.7</f>
        <v>41.552</v>
      </c>
      <c r="J15" s="31">
        <f t="shared" ref="J15:J39" si="3">H15-I15</f>
        <v>17.808000000000007</v>
      </c>
      <c r="K15" s="32">
        <f t="shared" si="0"/>
        <v>92.654986522911045</v>
      </c>
      <c r="L15" s="51">
        <f t="shared" si="1"/>
        <v>132.3642664613015</v>
      </c>
      <c r="M15" s="4"/>
    </row>
    <row r="16" spans="2:13">
      <c r="B16" s="27" t="s">
        <v>18</v>
      </c>
      <c r="C16" s="28">
        <f t="shared" si="2"/>
        <v>4</v>
      </c>
      <c r="D16" s="29" t="s">
        <v>46</v>
      </c>
      <c r="E16" s="29" t="s">
        <v>23</v>
      </c>
      <c r="F16" s="30">
        <v>5500</v>
      </c>
      <c r="G16" s="28" t="s">
        <v>21</v>
      </c>
      <c r="H16" s="31">
        <v>59.360000000000007</v>
      </c>
      <c r="I16" s="31">
        <v>59.360000000000007</v>
      </c>
      <c r="J16" s="31">
        <f t="shared" si="3"/>
        <v>0</v>
      </c>
      <c r="K16" s="32">
        <f t="shared" si="0"/>
        <v>92.654986522911045</v>
      </c>
      <c r="L16" s="51">
        <f t="shared" si="1"/>
        <v>92.654986522911045</v>
      </c>
      <c r="M16" s="4"/>
    </row>
    <row r="17" spans="2:13">
      <c r="B17" s="27" t="s">
        <v>18</v>
      </c>
      <c r="C17" s="28">
        <f t="shared" si="2"/>
        <v>5</v>
      </c>
      <c r="D17" s="29" t="s">
        <v>47</v>
      </c>
      <c r="E17" s="29" t="s">
        <v>23</v>
      </c>
      <c r="F17" s="30">
        <v>5500</v>
      </c>
      <c r="G17" s="28" t="s">
        <v>21</v>
      </c>
      <c r="H17" s="31">
        <v>59.360000000000007</v>
      </c>
      <c r="I17" s="31">
        <f>H17*0.7</f>
        <v>41.552</v>
      </c>
      <c r="J17" s="31">
        <f t="shared" si="3"/>
        <v>17.808000000000007</v>
      </c>
      <c r="K17" s="32">
        <f t="shared" si="0"/>
        <v>92.654986522911045</v>
      </c>
      <c r="L17" s="51">
        <f t="shared" si="1"/>
        <v>132.3642664613015</v>
      </c>
      <c r="M17" s="4"/>
    </row>
    <row r="18" spans="2:13">
      <c r="B18" s="27" t="s">
        <v>18</v>
      </c>
      <c r="C18" s="28">
        <f t="shared" si="2"/>
        <v>6</v>
      </c>
      <c r="D18" s="29" t="s">
        <v>48</v>
      </c>
      <c r="E18" s="29" t="s">
        <v>49</v>
      </c>
      <c r="F18" s="30">
        <v>5500</v>
      </c>
      <c r="G18" s="28" t="s">
        <v>21</v>
      </c>
      <c r="H18" s="31">
        <v>83.12</v>
      </c>
      <c r="I18" s="31">
        <v>83.12</v>
      </c>
      <c r="J18" s="31">
        <f t="shared" si="3"/>
        <v>0</v>
      </c>
      <c r="K18" s="32">
        <f t="shared" si="0"/>
        <v>66.169393647738204</v>
      </c>
      <c r="L18" s="51">
        <f t="shared" si="1"/>
        <v>66.169393647738204</v>
      </c>
      <c r="M18" s="4"/>
    </row>
    <row r="19" spans="2:13">
      <c r="B19" s="27" t="s">
        <v>18</v>
      </c>
      <c r="C19" s="28">
        <f t="shared" si="2"/>
        <v>7</v>
      </c>
      <c r="D19" s="29" t="s">
        <v>50</v>
      </c>
      <c r="E19" s="29" t="s">
        <v>49</v>
      </c>
      <c r="F19" s="30">
        <v>5500</v>
      </c>
      <c r="G19" s="28" t="s">
        <v>21</v>
      </c>
      <c r="H19" s="31">
        <v>83.12</v>
      </c>
      <c r="I19" s="31">
        <v>83.12</v>
      </c>
      <c r="J19" s="31">
        <f t="shared" si="3"/>
        <v>0</v>
      </c>
      <c r="K19" s="32">
        <f t="shared" si="0"/>
        <v>66.169393647738204</v>
      </c>
      <c r="L19" s="51">
        <f t="shared" si="1"/>
        <v>66.169393647738204</v>
      </c>
      <c r="M19" s="4"/>
    </row>
    <row r="20" spans="2:13">
      <c r="B20" s="27" t="s">
        <v>18</v>
      </c>
      <c r="C20" s="28">
        <f t="shared" si="2"/>
        <v>8</v>
      </c>
      <c r="D20" s="29" t="s">
        <v>51</v>
      </c>
      <c r="E20" s="29" t="s">
        <v>49</v>
      </c>
      <c r="F20" s="30">
        <v>5500</v>
      </c>
      <c r="G20" s="28" t="s">
        <v>21</v>
      </c>
      <c r="H20" s="31">
        <v>83.12</v>
      </c>
      <c r="I20" s="31">
        <f>H20*0.7</f>
        <v>58.183999999999997</v>
      </c>
      <c r="J20" s="31">
        <f t="shared" si="3"/>
        <v>24.936000000000007</v>
      </c>
      <c r="K20" s="32">
        <f t="shared" si="0"/>
        <v>66.169393647738204</v>
      </c>
      <c r="L20" s="51">
        <f t="shared" si="1"/>
        <v>94.527705211054595</v>
      </c>
      <c r="M20" s="4"/>
    </row>
    <row r="21" spans="2:13">
      <c r="B21" s="27" t="s">
        <v>18</v>
      </c>
      <c r="C21" s="28">
        <f t="shared" si="2"/>
        <v>9</v>
      </c>
      <c r="D21" s="29" t="s">
        <v>52</v>
      </c>
      <c r="E21" s="29" t="s">
        <v>49</v>
      </c>
      <c r="F21" s="30">
        <v>5500</v>
      </c>
      <c r="G21" s="28" t="s">
        <v>21</v>
      </c>
      <c r="H21" s="31">
        <v>83.12</v>
      </c>
      <c r="I21" s="31">
        <v>83.12</v>
      </c>
      <c r="J21" s="31">
        <f t="shared" si="3"/>
        <v>0</v>
      </c>
      <c r="K21" s="32">
        <f t="shared" si="0"/>
        <v>66.169393647738204</v>
      </c>
      <c r="L21" s="51">
        <f t="shared" si="1"/>
        <v>66.169393647738204</v>
      </c>
      <c r="M21" s="4"/>
    </row>
    <row r="22" spans="2:13">
      <c r="B22" s="27" t="s">
        <v>18</v>
      </c>
      <c r="C22" s="28">
        <f t="shared" si="2"/>
        <v>10</v>
      </c>
      <c r="D22" s="29" t="s">
        <v>53</v>
      </c>
      <c r="E22" s="29" t="s">
        <v>49</v>
      </c>
      <c r="F22" s="30">
        <v>5500</v>
      </c>
      <c r="G22" s="28" t="s">
        <v>21</v>
      </c>
      <c r="H22" s="31">
        <v>83.1</v>
      </c>
      <c r="I22" s="31">
        <f>H22*0.7</f>
        <v>58.169999999999995</v>
      </c>
      <c r="J22" s="31">
        <f t="shared" si="3"/>
        <v>24.93</v>
      </c>
      <c r="K22" s="32">
        <f t="shared" si="0"/>
        <v>66.185318892900128</v>
      </c>
      <c r="L22" s="51">
        <f t="shared" si="1"/>
        <v>94.550455561285901</v>
      </c>
      <c r="M22" s="4"/>
    </row>
    <row r="23" spans="2:13">
      <c r="B23" s="27" t="s">
        <v>18</v>
      </c>
      <c r="C23" s="28">
        <f t="shared" si="2"/>
        <v>11</v>
      </c>
      <c r="D23" s="29" t="s">
        <v>54</v>
      </c>
      <c r="E23" s="29" t="s">
        <v>49</v>
      </c>
      <c r="F23" s="30">
        <v>5500</v>
      </c>
      <c r="G23" s="28" t="s">
        <v>21</v>
      </c>
      <c r="H23" s="31">
        <v>83.1</v>
      </c>
      <c r="I23" s="31">
        <v>83.1</v>
      </c>
      <c r="J23" s="31">
        <f t="shared" si="3"/>
        <v>0</v>
      </c>
      <c r="K23" s="32">
        <f t="shared" si="0"/>
        <v>66.185318892900128</v>
      </c>
      <c r="L23" s="51">
        <f t="shared" si="1"/>
        <v>66.185318892900128</v>
      </c>
      <c r="M23" s="4"/>
    </row>
    <row r="24" spans="2:13">
      <c r="B24" s="27" t="s">
        <v>18</v>
      </c>
      <c r="C24" s="28">
        <f t="shared" si="2"/>
        <v>12</v>
      </c>
      <c r="D24" s="29" t="s">
        <v>55</v>
      </c>
      <c r="E24" s="29" t="s">
        <v>56</v>
      </c>
      <c r="F24" s="30">
        <v>5500</v>
      </c>
      <c r="G24" s="28" t="s">
        <v>21</v>
      </c>
      <c r="H24" s="31">
        <v>83.1</v>
      </c>
      <c r="I24" s="31">
        <v>83.1</v>
      </c>
      <c r="J24" s="31">
        <f t="shared" si="3"/>
        <v>0</v>
      </c>
      <c r="K24" s="32">
        <f t="shared" si="0"/>
        <v>66.185318892900128</v>
      </c>
      <c r="L24" s="51">
        <f t="shared" si="1"/>
        <v>66.185318892900128</v>
      </c>
      <c r="M24" s="4"/>
    </row>
    <row r="25" spans="2:13">
      <c r="B25" s="27" t="s">
        <v>18</v>
      </c>
      <c r="C25" s="28">
        <f t="shared" si="2"/>
        <v>13</v>
      </c>
      <c r="D25" s="29" t="s">
        <v>57</v>
      </c>
      <c r="E25" s="29" t="s">
        <v>23</v>
      </c>
      <c r="F25" s="30">
        <v>5500</v>
      </c>
      <c r="G25" s="28" t="s">
        <v>21</v>
      </c>
      <c r="H25" s="31">
        <v>59.4</v>
      </c>
      <c r="I25" s="31">
        <v>59.4</v>
      </c>
      <c r="J25" s="31">
        <f t="shared" si="3"/>
        <v>0</v>
      </c>
      <c r="K25" s="32">
        <f t="shared" si="0"/>
        <v>92.592592592592595</v>
      </c>
      <c r="L25" s="51">
        <f t="shared" si="1"/>
        <v>92.592592592592595</v>
      </c>
      <c r="M25" s="4"/>
    </row>
    <row r="26" spans="2:13">
      <c r="B26" s="27" t="s">
        <v>18</v>
      </c>
      <c r="C26" s="28">
        <f t="shared" si="2"/>
        <v>14</v>
      </c>
      <c r="D26" s="29" t="s">
        <v>58</v>
      </c>
      <c r="E26" s="29" t="s">
        <v>23</v>
      </c>
      <c r="F26" s="30">
        <v>5500</v>
      </c>
      <c r="G26" s="28" t="s">
        <v>21</v>
      </c>
      <c r="H26" s="31">
        <v>59.4</v>
      </c>
      <c r="I26" s="31">
        <v>59.4</v>
      </c>
      <c r="J26" s="31">
        <f t="shared" si="3"/>
        <v>0</v>
      </c>
      <c r="K26" s="32">
        <f t="shared" si="0"/>
        <v>92.592592592592595</v>
      </c>
      <c r="L26" s="51">
        <f t="shared" si="1"/>
        <v>92.592592592592595</v>
      </c>
      <c r="M26" s="4"/>
    </row>
    <row r="27" spans="2:13">
      <c r="B27" s="27" t="s">
        <v>18</v>
      </c>
      <c r="C27" s="28">
        <f t="shared" si="2"/>
        <v>15</v>
      </c>
      <c r="D27" s="29" t="s">
        <v>59</v>
      </c>
      <c r="E27" s="29" t="s">
        <v>60</v>
      </c>
      <c r="F27" s="30">
        <v>4000</v>
      </c>
      <c r="G27" s="28" t="s">
        <v>21</v>
      </c>
      <c r="H27" s="31">
        <v>69.2</v>
      </c>
      <c r="I27" s="31">
        <f>H27*0.7</f>
        <v>48.44</v>
      </c>
      <c r="J27" s="31">
        <f t="shared" si="3"/>
        <v>20.760000000000005</v>
      </c>
      <c r="K27" s="32">
        <f t="shared" si="0"/>
        <v>57.803468208092482</v>
      </c>
      <c r="L27" s="51">
        <f t="shared" si="1"/>
        <v>82.57638315441784</v>
      </c>
      <c r="M27" s="4"/>
    </row>
    <row r="28" spans="2:13">
      <c r="B28" s="27" t="s">
        <v>18</v>
      </c>
      <c r="C28" s="28">
        <f t="shared" si="2"/>
        <v>16</v>
      </c>
      <c r="D28" s="29" t="s">
        <v>61</v>
      </c>
      <c r="E28" s="29" t="s">
        <v>49</v>
      </c>
      <c r="F28" s="30">
        <v>4000</v>
      </c>
      <c r="G28" s="28" t="s">
        <v>21</v>
      </c>
      <c r="H28" s="31">
        <v>69.2</v>
      </c>
      <c r="I28" s="31">
        <v>69.2</v>
      </c>
      <c r="J28" s="31">
        <f t="shared" si="3"/>
        <v>0</v>
      </c>
      <c r="K28" s="32">
        <f t="shared" si="0"/>
        <v>57.803468208092482</v>
      </c>
      <c r="L28" s="51">
        <f t="shared" si="1"/>
        <v>57.803468208092482</v>
      </c>
      <c r="M28" s="4"/>
    </row>
    <row r="29" spans="2:13">
      <c r="B29" s="27" t="s">
        <v>18</v>
      </c>
      <c r="C29" s="28">
        <f t="shared" si="2"/>
        <v>17</v>
      </c>
      <c r="D29" s="29" t="s">
        <v>62</v>
      </c>
      <c r="E29" s="29" t="s">
        <v>49</v>
      </c>
      <c r="F29" s="30">
        <v>4000</v>
      </c>
      <c r="G29" s="28" t="s">
        <v>21</v>
      </c>
      <c r="H29" s="31">
        <v>69.2</v>
      </c>
      <c r="I29" s="31">
        <v>69.2</v>
      </c>
      <c r="J29" s="31">
        <f t="shared" si="3"/>
        <v>0</v>
      </c>
      <c r="K29" s="32">
        <f t="shared" si="0"/>
        <v>57.803468208092482</v>
      </c>
      <c r="L29" s="51">
        <f t="shared" si="1"/>
        <v>57.803468208092482</v>
      </c>
      <c r="M29" s="4"/>
    </row>
    <row r="30" spans="2:13">
      <c r="B30" s="27" t="s">
        <v>18</v>
      </c>
      <c r="C30" s="28">
        <f t="shared" si="2"/>
        <v>18</v>
      </c>
      <c r="D30" s="29" t="s">
        <v>63</v>
      </c>
      <c r="E30" s="29" t="s">
        <v>49</v>
      </c>
      <c r="F30" s="30">
        <v>4000</v>
      </c>
      <c r="G30" s="28" t="s">
        <v>21</v>
      </c>
      <c r="H30" s="31">
        <v>69.2</v>
      </c>
      <c r="I30" s="31">
        <v>69.2</v>
      </c>
      <c r="J30" s="31">
        <f t="shared" si="3"/>
        <v>0</v>
      </c>
      <c r="K30" s="32">
        <f t="shared" si="0"/>
        <v>57.803468208092482</v>
      </c>
      <c r="L30" s="51">
        <f t="shared" si="1"/>
        <v>57.803468208092482</v>
      </c>
      <c r="M30" s="4"/>
    </row>
    <row r="31" spans="2:13">
      <c r="B31" s="27" t="s">
        <v>18</v>
      </c>
      <c r="C31" s="28">
        <f t="shared" si="2"/>
        <v>19</v>
      </c>
      <c r="D31" s="29" t="s">
        <v>64</v>
      </c>
      <c r="E31" s="29" t="s">
        <v>23</v>
      </c>
      <c r="F31" s="30">
        <v>1500</v>
      </c>
      <c r="G31" s="28" t="s">
        <v>21</v>
      </c>
      <c r="H31" s="31">
        <v>39.120000000000005</v>
      </c>
      <c r="I31" s="31">
        <v>39.120000000000005</v>
      </c>
      <c r="J31" s="31">
        <f t="shared" si="3"/>
        <v>0</v>
      </c>
      <c r="K31" s="32">
        <f t="shared" si="0"/>
        <v>38.343558282208583</v>
      </c>
      <c r="L31" s="51">
        <f t="shared" si="1"/>
        <v>38.343558282208583</v>
      </c>
      <c r="M31" s="4"/>
    </row>
    <row r="32" spans="2:13">
      <c r="B32" s="27" t="s">
        <v>18</v>
      </c>
      <c r="C32" s="28">
        <f t="shared" si="2"/>
        <v>20</v>
      </c>
      <c r="D32" s="29" t="s">
        <v>65</v>
      </c>
      <c r="E32" s="29" t="s">
        <v>23</v>
      </c>
      <c r="F32" s="30">
        <v>1500</v>
      </c>
      <c r="G32" s="28" t="s">
        <v>21</v>
      </c>
      <c r="H32" s="31">
        <v>39.120000000000005</v>
      </c>
      <c r="I32" s="31">
        <v>39.120000000000005</v>
      </c>
      <c r="J32" s="31">
        <f t="shared" si="3"/>
        <v>0</v>
      </c>
      <c r="K32" s="32">
        <f t="shared" si="0"/>
        <v>38.343558282208583</v>
      </c>
      <c r="L32" s="51">
        <f t="shared" si="1"/>
        <v>38.343558282208583</v>
      </c>
      <c r="M32" s="4"/>
    </row>
    <row r="33" spans="2:13">
      <c r="B33" s="27" t="s">
        <v>18</v>
      </c>
      <c r="C33" s="28">
        <f t="shared" si="2"/>
        <v>21</v>
      </c>
      <c r="D33" s="29" t="s">
        <v>66</v>
      </c>
      <c r="E33" s="29" t="s">
        <v>23</v>
      </c>
      <c r="F33" s="30">
        <v>1500</v>
      </c>
      <c r="G33" s="28" t="s">
        <v>21</v>
      </c>
      <c r="H33" s="31">
        <v>35.119999999999997</v>
      </c>
      <c r="I33" s="31">
        <f>H33*0.7</f>
        <v>24.583999999999996</v>
      </c>
      <c r="J33" s="31">
        <f t="shared" si="3"/>
        <v>10.536000000000001</v>
      </c>
      <c r="K33" s="32">
        <f t="shared" si="0"/>
        <v>42.710706150341686</v>
      </c>
      <c r="L33" s="51">
        <f t="shared" si="1"/>
        <v>61.015294500488132</v>
      </c>
      <c r="M33" s="4"/>
    </row>
    <row r="34" spans="2:13">
      <c r="B34" s="27" t="s">
        <v>18</v>
      </c>
      <c r="C34" s="28">
        <f t="shared" si="2"/>
        <v>22</v>
      </c>
      <c r="D34" s="29" t="s">
        <v>67</v>
      </c>
      <c r="E34" s="29" t="s">
        <v>23</v>
      </c>
      <c r="F34" s="30">
        <v>1500</v>
      </c>
      <c r="G34" s="28" t="s">
        <v>21</v>
      </c>
      <c r="H34" s="31">
        <v>39.120000000000005</v>
      </c>
      <c r="I34" s="31">
        <f>H34*0.7</f>
        <v>27.384</v>
      </c>
      <c r="J34" s="31">
        <f t="shared" si="3"/>
        <v>11.736000000000004</v>
      </c>
      <c r="K34" s="32">
        <f t="shared" si="0"/>
        <v>38.343558282208583</v>
      </c>
      <c r="L34" s="51">
        <f t="shared" si="1"/>
        <v>54.776511831726552</v>
      </c>
      <c r="M34" s="4"/>
    </row>
    <row r="35" spans="2:13">
      <c r="B35" s="27" t="s">
        <v>18</v>
      </c>
      <c r="C35" s="28">
        <f t="shared" si="2"/>
        <v>23</v>
      </c>
      <c r="D35" s="29" t="s">
        <v>68</v>
      </c>
      <c r="E35" s="29" t="s">
        <v>23</v>
      </c>
      <c r="F35" s="30">
        <v>1500</v>
      </c>
      <c r="G35" s="28" t="s">
        <v>21</v>
      </c>
      <c r="H35" s="31">
        <v>39.120000000000005</v>
      </c>
      <c r="I35" s="31">
        <v>39.120000000000005</v>
      </c>
      <c r="J35" s="31">
        <f t="shared" si="3"/>
        <v>0</v>
      </c>
      <c r="K35" s="32">
        <f t="shared" si="0"/>
        <v>38.343558282208583</v>
      </c>
      <c r="L35" s="51">
        <f t="shared" si="1"/>
        <v>38.343558282208583</v>
      </c>
      <c r="M35" s="4"/>
    </row>
    <row r="36" spans="2:13">
      <c r="B36" s="27" t="s">
        <v>18</v>
      </c>
      <c r="C36" s="28">
        <f t="shared" si="2"/>
        <v>24</v>
      </c>
      <c r="D36" s="29" t="s">
        <v>69</v>
      </c>
      <c r="E36" s="29" t="s">
        <v>23</v>
      </c>
      <c r="F36" s="30">
        <v>1500</v>
      </c>
      <c r="G36" s="28" t="s">
        <v>21</v>
      </c>
      <c r="H36" s="31">
        <v>39.120000000000005</v>
      </c>
      <c r="I36" s="31">
        <f>H36*0.7</f>
        <v>27.384</v>
      </c>
      <c r="J36" s="31">
        <f t="shared" si="3"/>
        <v>11.736000000000004</v>
      </c>
      <c r="K36" s="32">
        <f t="shared" si="0"/>
        <v>38.343558282208583</v>
      </c>
      <c r="L36" s="51">
        <f t="shared" si="1"/>
        <v>54.776511831726552</v>
      </c>
      <c r="M36" s="4"/>
    </row>
    <row r="37" spans="2:13">
      <c r="B37" s="27" t="s">
        <v>18</v>
      </c>
      <c r="C37" s="28">
        <f t="shared" si="2"/>
        <v>25</v>
      </c>
      <c r="D37" s="29" t="s">
        <v>70</v>
      </c>
      <c r="E37" s="29" t="s">
        <v>23</v>
      </c>
      <c r="F37" s="30">
        <v>1500</v>
      </c>
      <c r="G37" s="28" t="s">
        <v>21</v>
      </c>
      <c r="H37" s="31">
        <v>39.120000000000005</v>
      </c>
      <c r="I37" s="31">
        <f>H37*0.6</f>
        <v>23.472000000000001</v>
      </c>
      <c r="J37" s="31">
        <f t="shared" si="3"/>
        <v>15.648000000000003</v>
      </c>
      <c r="K37" s="32">
        <f t="shared" si="0"/>
        <v>38.343558282208583</v>
      </c>
      <c r="L37" s="51">
        <f t="shared" si="1"/>
        <v>63.905930470347641</v>
      </c>
      <c r="M37" s="4"/>
    </row>
    <row r="38" spans="2:13">
      <c r="B38" s="27" t="s">
        <v>18</v>
      </c>
      <c r="C38" s="28">
        <f t="shared" si="2"/>
        <v>26</v>
      </c>
      <c r="D38" s="29" t="s">
        <v>71</v>
      </c>
      <c r="E38" s="29" t="s">
        <v>23</v>
      </c>
      <c r="F38" s="30">
        <v>1500</v>
      </c>
      <c r="G38" s="28" t="s">
        <v>21</v>
      </c>
      <c r="H38" s="31">
        <v>39.120000000000005</v>
      </c>
      <c r="I38" s="31">
        <v>39.120000000000005</v>
      </c>
      <c r="J38" s="31">
        <f t="shared" si="3"/>
        <v>0</v>
      </c>
      <c r="K38" s="32">
        <f t="shared" si="0"/>
        <v>38.343558282208583</v>
      </c>
      <c r="L38" s="51">
        <f t="shared" si="1"/>
        <v>38.343558282208583</v>
      </c>
      <c r="M38" s="4"/>
    </row>
    <row r="39" spans="2:13" ht="10.5" thickBot="1">
      <c r="B39" s="34" t="s">
        <v>18</v>
      </c>
      <c r="C39" s="35">
        <f t="shared" si="2"/>
        <v>27</v>
      </c>
      <c r="D39" s="36" t="s">
        <v>72</v>
      </c>
      <c r="E39" s="36" t="s">
        <v>23</v>
      </c>
      <c r="F39" s="37">
        <v>1500</v>
      </c>
      <c r="G39" s="35" t="s">
        <v>21</v>
      </c>
      <c r="H39" s="38">
        <v>39.120000000000005</v>
      </c>
      <c r="I39" s="38">
        <f>H39*0.7</f>
        <v>27.384</v>
      </c>
      <c r="J39" s="38">
        <f t="shared" si="3"/>
        <v>11.736000000000004</v>
      </c>
      <c r="K39" s="39">
        <f t="shared" si="0"/>
        <v>38.343558282208583</v>
      </c>
      <c r="L39" s="52">
        <f t="shared" si="1"/>
        <v>54.776511831726552</v>
      </c>
      <c r="M39" s="4"/>
    </row>
    <row r="40" spans="2:13" ht="10.5" thickBot="1">
      <c r="F40" s="58">
        <f>SUM(F13:F39)</f>
        <v>108000</v>
      </c>
      <c r="H40" s="59">
        <f>SUM(H13:H39)</f>
        <v>1651.3799999999992</v>
      </c>
      <c r="I40" s="59">
        <f>SUM(I13:I39)</f>
        <v>1465.9380000000006</v>
      </c>
      <c r="J40" s="59">
        <f>H40-I40</f>
        <v>185.44199999999864</v>
      </c>
      <c r="K40" s="60">
        <f>F40/H40</f>
        <v>65.399847400356094</v>
      </c>
      <c r="L40" s="60">
        <f>F40/I40</f>
        <v>73.672965705234432</v>
      </c>
    </row>
    <row r="41" spans="2:13" ht="10.5" thickBot="1"/>
    <row r="42" spans="2:13" ht="12.6" customHeight="1">
      <c r="B42" s="98" t="s">
        <v>73</v>
      </c>
      <c r="C42" s="99"/>
      <c r="D42" s="99"/>
      <c r="E42" s="99"/>
      <c r="F42" s="99"/>
      <c r="G42" s="99"/>
      <c r="H42" s="99"/>
      <c r="I42" s="99"/>
      <c r="J42" s="99"/>
      <c r="K42" s="99"/>
      <c r="L42" s="100"/>
    </row>
    <row r="43" spans="2:13" ht="9.9499999999999993" customHeight="1">
      <c r="B43" s="101"/>
      <c r="C43" s="102"/>
      <c r="D43" s="102"/>
      <c r="E43" s="102"/>
      <c r="F43" s="102"/>
      <c r="G43" s="102"/>
      <c r="H43" s="102"/>
      <c r="I43" s="102"/>
      <c r="J43" s="102"/>
      <c r="K43" s="102"/>
      <c r="L43" s="103"/>
    </row>
    <row r="44" spans="2:13" ht="9.9499999999999993" customHeight="1">
      <c r="B44" s="101"/>
      <c r="C44" s="102"/>
      <c r="D44" s="102"/>
      <c r="E44" s="102"/>
      <c r="F44" s="102"/>
      <c r="G44" s="102"/>
      <c r="H44" s="102"/>
      <c r="I44" s="102"/>
      <c r="J44" s="102"/>
      <c r="K44" s="102"/>
      <c r="L44" s="103"/>
    </row>
    <row r="45" spans="2:13" ht="9.9499999999999993" customHeight="1">
      <c r="B45" s="101"/>
      <c r="C45" s="102"/>
      <c r="D45" s="102"/>
      <c r="E45" s="102"/>
      <c r="F45" s="102"/>
      <c r="G45" s="102"/>
      <c r="H45" s="102"/>
      <c r="I45" s="102"/>
      <c r="J45" s="102"/>
      <c r="K45" s="102"/>
      <c r="L45" s="103"/>
    </row>
    <row r="46" spans="2:13" ht="9.9499999999999993" customHeight="1">
      <c r="B46" s="101"/>
      <c r="C46" s="102"/>
      <c r="D46" s="102"/>
      <c r="E46" s="102"/>
      <c r="F46" s="102"/>
      <c r="G46" s="102"/>
      <c r="H46" s="102"/>
      <c r="I46" s="102"/>
      <c r="J46" s="102"/>
      <c r="K46" s="102"/>
      <c r="L46" s="103"/>
    </row>
    <row r="47" spans="2:13" ht="9.9499999999999993" customHeight="1" thickBot="1">
      <c r="B47" s="104"/>
      <c r="C47" s="105"/>
      <c r="D47" s="105"/>
      <c r="E47" s="105"/>
      <c r="F47" s="105"/>
      <c r="G47" s="105"/>
      <c r="H47" s="105"/>
      <c r="I47" s="105"/>
      <c r="J47" s="105"/>
      <c r="K47" s="105"/>
      <c r="L47" s="106"/>
    </row>
    <row r="48" spans="2:13" ht="9.9499999999999993" customHeight="1">
      <c r="B48" s="130" t="s">
        <v>31</v>
      </c>
      <c r="C48" s="131"/>
      <c r="D48" s="131"/>
      <c r="E48" s="131"/>
      <c r="F48" s="131"/>
      <c r="G48" s="131"/>
      <c r="H48" s="131"/>
      <c r="I48" s="131"/>
      <c r="J48" s="131"/>
      <c r="K48" s="131"/>
      <c r="L48" s="132"/>
    </row>
    <row r="49" spans="2:12" ht="9.9499999999999993" customHeight="1" thickBot="1">
      <c r="B49" s="140" t="s">
        <v>74</v>
      </c>
      <c r="C49" s="141"/>
      <c r="D49" s="141"/>
      <c r="E49" s="141"/>
      <c r="F49" s="141"/>
      <c r="G49" s="141"/>
      <c r="H49" s="141"/>
      <c r="I49" s="141"/>
      <c r="J49" s="141"/>
      <c r="K49" s="141"/>
      <c r="L49" s="142"/>
    </row>
    <row r="50" spans="2:12" ht="10.5" customHeight="1">
      <c r="B50" s="95"/>
      <c r="C50" s="95"/>
      <c r="D50" s="95"/>
      <c r="E50" s="95"/>
      <c r="F50" s="95"/>
      <c r="G50" s="95"/>
      <c r="H50" s="95"/>
      <c r="I50" s="95"/>
      <c r="J50" s="95"/>
      <c r="K50" s="95"/>
    </row>
  </sheetData>
  <mergeCells count="9">
    <mergeCell ref="B50:K50"/>
    <mergeCell ref="J11:J12"/>
    <mergeCell ref="B42:L47"/>
    <mergeCell ref="B48:L48"/>
    <mergeCell ref="B49:L49"/>
    <mergeCell ref="H11:H12"/>
    <mergeCell ref="I11:I12"/>
    <mergeCell ref="K11:K12"/>
    <mergeCell ref="L11:L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F0590-5CCC-4573-AD44-1A7F513DDB25}">
  <dimension ref="B2:U50"/>
  <sheetViews>
    <sheetView showGridLines="0" tabSelected="1" zoomScale="130" zoomScaleNormal="130" workbookViewId="0">
      <selection activeCell="J56" sqref="J56"/>
    </sheetView>
  </sheetViews>
  <sheetFormatPr defaultRowHeight="9.9499999999999993"/>
  <cols>
    <col min="2" max="3" width="8" customWidth="1"/>
    <col min="4" max="4" width="33" customWidth="1"/>
    <col min="5" max="5" width="15" bestFit="1" customWidth="1"/>
    <col min="6" max="6" width="11" customWidth="1"/>
    <col min="7" max="7" width="7" customWidth="1"/>
    <col min="8" max="8" width="8.83203125" customWidth="1"/>
    <col min="9" max="9" width="8.1640625" customWidth="1"/>
    <col min="10" max="10" width="10.1640625" customWidth="1"/>
    <col min="11" max="11" width="9" customWidth="1"/>
    <col min="13" max="18" width="12.5" customWidth="1"/>
    <col min="20" max="20" width="20.1640625" customWidth="1"/>
    <col min="21" max="21" width="31.5" bestFit="1" customWidth="1"/>
  </cols>
  <sheetData>
    <row r="2" spans="2:21" ht="10.5">
      <c r="B2" s="7" t="s">
        <v>33</v>
      </c>
    </row>
    <row r="3" spans="2:21" ht="10.5" thickBot="1"/>
    <row r="4" spans="2:21" ht="12.95" customHeight="1" thickBot="1">
      <c r="B4" s="1" t="s">
        <v>34</v>
      </c>
      <c r="M4" s="109" t="s">
        <v>75</v>
      </c>
      <c r="N4" s="110"/>
      <c r="O4" s="110"/>
      <c r="P4" s="110"/>
      <c r="Q4" s="110"/>
      <c r="R4" s="111"/>
      <c r="T4" s="107" t="s">
        <v>76</v>
      </c>
      <c r="U4" s="108"/>
    </row>
    <row r="5" spans="2:21" ht="10.5">
      <c r="B5" s="2" t="s">
        <v>2</v>
      </c>
      <c r="E5" s="2" t="s">
        <v>3</v>
      </c>
      <c r="M5" s="112"/>
      <c r="N5" s="113"/>
      <c r="O5" s="113"/>
      <c r="P5" s="113"/>
      <c r="Q5" s="113"/>
      <c r="R5" s="114"/>
      <c r="T5" s="84" t="s">
        <v>77</v>
      </c>
      <c r="U5" s="85" t="s">
        <v>78</v>
      </c>
    </row>
    <row r="6" spans="2:21" ht="11.1" thickBot="1">
      <c r="B6" s="2" t="s">
        <v>4</v>
      </c>
      <c r="E6" s="2"/>
      <c r="M6" s="112"/>
      <c r="N6" s="113"/>
      <c r="O6" s="113"/>
      <c r="P6" s="113"/>
      <c r="Q6" s="113"/>
      <c r="R6" s="114"/>
      <c r="T6" s="80" t="s">
        <v>79</v>
      </c>
      <c r="U6" s="81">
        <v>0.5</v>
      </c>
    </row>
    <row r="7" spans="2:21" ht="10.5">
      <c r="B7" s="2" t="s">
        <v>5</v>
      </c>
      <c r="H7" s="118" t="s">
        <v>80</v>
      </c>
      <c r="I7" s="119"/>
      <c r="J7" s="119"/>
      <c r="K7" s="119"/>
      <c r="L7" s="120"/>
      <c r="M7" s="112"/>
      <c r="N7" s="113"/>
      <c r="O7" s="113"/>
      <c r="P7" s="113"/>
      <c r="Q7" s="113"/>
      <c r="R7" s="114"/>
      <c r="T7" s="80" t="s">
        <v>81</v>
      </c>
      <c r="U7" s="81">
        <v>0.35</v>
      </c>
    </row>
    <row r="8" spans="2:21" ht="11.1" thickBot="1">
      <c r="B8" s="2" t="s">
        <v>6</v>
      </c>
      <c r="H8" s="121"/>
      <c r="I8" s="122"/>
      <c r="J8" s="122"/>
      <c r="K8" s="122"/>
      <c r="L8" s="123"/>
      <c r="M8" s="112"/>
      <c r="N8" s="113"/>
      <c r="O8" s="113"/>
      <c r="P8" s="113"/>
      <c r="Q8" s="113"/>
      <c r="R8" s="114"/>
      <c r="T8" s="82" t="s">
        <v>82</v>
      </c>
      <c r="U8" s="83">
        <v>0.15</v>
      </c>
    </row>
    <row r="9" spans="2:21" ht="10.5">
      <c r="B9" s="2" t="s">
        <v>7</v>
      </c>
      <c r="H9" s="121"/>
      <c r="I9" s="122"/>
      <c r="J9" s="122"/>
      <c r="K9" s="122"/>
      <c r="L9" s="123"/>
      <c r="M9" s="112"/>
      <c r="N9" s="113"/>
      <c r="O9" s="113"/>
      <c r="P9" s="113"/>
      <c r="Q9" s="113"/>
      <c r="R9" s="114"/>
    </row>
    <row r="10" spans="2:21" ht="10.5" customHeight="1" thickBot="1">
      <c r="H10" s="124"/>
      <c r="I10" s="125"/>
      <c r="J10" s="125"/>
      <c r="K10" s="125"/>
      <c r="L10" s="126"/>
      <c r="M10" s="115"/>
      <c r="N10" s="116"/>
      <c r="O10" s="116"/>
      <c r="P10" s="116"/>
      <c r="Q10" s="116"/>
      <c r="R10" s="117"/>
    </row>
    <row r="11" spans="2:21" ht="30" customHeight="1" thickBot="1">
      <c r="B11" s="12"/>
      <c r="C11" s="13"/>
      <c r="D11" s="13"/>
      <c r="E11" s="13"/>
      <c r="F11" s="13"/>
      <c r="G11" s="49" t="s">
        <v>35</v>
      </c>
      <c r="H11" s="96" t="s">
        <v>36</v>
      </c>
      <c r="I11" s="96" t="s">
        <v>37</v>
      </c>
      <c r="J11" s="96" t="s">
        <v>83</v>
      </c>
      <c r="K11" s="96" t="s">
        <v>39</v>
      </c>
      <c r="L11" s="96" t="s">
        <v>40</v>
      </c>
      <c r="M11" s="127" t="s">
        <v>84</v>
      </c>
      <c r="N11" s="128"/>
      <c r="O11" s="128"/>
      <c r="P11" s="128"/>
      <c r="Q11" s="128"/>
      <c r="R11" s="129"/>
    </row>
    <row r="12" spans="2:21" ht="20.45" thickBot="1">
      <c r="B12" s="61" t="s">
        <v>10</v>
      </c>
      <c r="C12" s="5" t="s">
        <v>41</v>
      </c>
      <c r="D12" s="5" t="s">
        <v>11</v>
      </c>
      <c r="E12" s="5" t="s">
        <v>12</v>
      </c>
      <c r="F12" s="5" t="s">
        <v>13</v>
      </c>
      <c r="G12" s="5" t="s">
        <v>42</v>
      </c>
      <c r="H12" s="97"/>
      <c r="I12" s="97"/>
      <c r="J12" s="97"/>
      <c r="K12" s="97"/>
      <c r="L12" s="97"/>
      <c r="M12" s="62" t="s">
        <v>85</v>
      </c>
      <c r="N12" s="14" t="s">
        <v>86</v>
      </c>
      <c r="O12" s="14" t="s">
        <v>87</v>
      </c>
      <c r="P12" s="14" t="s">
        <v>88</v>
      </c>
      <c r="Q12" s="14" t="s">
        <v>89</v>
      </c>
      <c r="R12" s="53" t="s">
        <v>90</v>
      </c>
    </row>
    <row r="13" spans="2:21">
      <c r="B13" s="20" t="s">
        <v>18</v>
      </c>
      <c r="C13" s="21">
        <v>1</v>
      </c>
      <c r="D13" s="22" t="s">
        <v>43</v>
      </c>
      <c r="E13" s="22" t="s">
        <v>20</v>
      </c>
      <c r="F13" s="23">
        <v>7000</v>
      </c>
      <c r="G13" s="21" t="s">
        <v>21</v>
      </c>
      <c r="H13" s="24">
        <v>88.48</v>
      </c>
      <c r="I13" s="24">
        <v>88.48</v>
      </c>
      <c r="J13" s="24">
        <f>H13-I13</f>
        <v>0</v>
      </c>
      <c r="K13" s="25">
        <f>F13/H13</f>
        <v>79.113924050632903</v>
      </c>
      <c r="L13" s="23">
        <f>F13/I13</f>
        <v>79.113924050632903</v>
      </c>
      <c r="M13" s="64">
        <f>I13*1.15</f>
        <v>101.752</v>
      </c>
      <c r="N13" s="65">
        <f>I13*1.2</f>
        <v>106.176</v>
      </c>
      <c r="O13" s="66">
        <f>I13*1.25</f>
        <v>110.60000000000001</v>
      </c>
      <c r="P13" s="67">
        <f>F13/M13</f>
        <v>68.794716565767757</v>
      </c>
      <c r="Q13" s="67">
        <f>F13/N13</f>
        <v>65.928270042194086</v>
      </c>
      <c r="R13" s="68">
        <f>F13/O13</f>
        <v>63.291139240506325</v>
      </c>
    </row>
    <row r="14" spans="2:21">
      <c r="B14" s="27" t="s">
        <v>18</v>
      </c>
      <c r="C14" s="28">
        <f>C13+1</f>
        <v>2</v>
      </c>
      <c r="D14" s="29" t="s">
        <v>44</v>
      </c>
      <c r="E14" s="29" t="s">
        <v>23</v>
      </c>
      <c r="F14" s="30">
        <v>5500</v>
      </c>
      <c r="G14" s="28" t="s">
        <v>21</v>
      </c>
      <c r="H14" s="31">
        <v>59.360000000000007</v>
      </c>
      <c r="I14" s="31">
        <f>H14*0.7</f>
        <v>41.552</v>
      </c>
      <c r="J14" s="31">
        <f>H14-I14</f>
        <v>17.808000000000007</v>
      </c>
      <c r="K14" s="32">
        <f t="shared" ref="K14:K39" si="0">F14/H14</f>
        <v>92.654986522911045</v>
      </c>
      <c r="L14" s="30">
        <f t="shared" ref="L14:L39" si="1">F14/I14</f>
        <v>132.3642664613015</v>
      </c>
      <c r="M14" s="69">
        <f t="shared" ref="M14:M39" si="2">I14*1.15</f>
        <v>47.784799999999997</v>
      </c>
      <c r="N14" s="70">
        <f t="shared" ref="N14:N39" si="3">I14*1.2</f>
        <v>49.862400000000001</v>
      </c>
      <c r="O14" s="71">
        <f t="shared" ref="O14:O39" si="4">I14*1.25</f>
        <v>51.94</v>
      </c>
      <c r="P14" s="72">
        <f t="shared" ref="P14:P39" si="5">F14/M14</f>
        <v>115.09936214026219</v>
      </c>
      <c r="Q14" s="72">
        <f t="shared" ref="Q14:Q39" si="6">F14/N14</f>
        <v>110.30355538441792</v>
      </c>
      <c r="R14" s="73">
        <f t="shared" ref="R14:R39" si="7">F14/O14</f>
        <v>105.8914131690412</v>
      </c>
    </row>
    <row r="15" spans="2:21">
      <c r="B15" s="27" t="s">
        <v>18</v>
      </c>
      <c r="C15" s="28">
        <f t="shared" ref="C15:C39" si="8">C14+1</f>
        <v>3</v>
      </c>
      <c r="D15" s="29" t="s">
        <v>45</v>
      </c>
      <c r="E15" s="29" t="s">
        <v>23</v>
      </c>
      <c r="F15" s="30">
        <v>5500</v>
      </c>
      <c r="G15" s="28" t="s">
        <v>21</v>
      </c>
      <c r="H15" s="31">
        <v>59.360000000000007</v>
      </c>
      <c r="I15" s="31">
        <f>H15*0.7</f>
        <v>41.552</v>
      </c>
      <c r="J15" s="31">
        <f t="shared" ref="J15:J39" si="9">H15-I15</f>
        <v>17.808000000000007</v>
      </c>
      <c r="K15" s="32">
        <f t="shared" si="0"/>
        <v>92.654986522911045</v>
      </c>
      <c r="L15" s="30">
        <f t="shared" si="1"/>
        <v>132.3642664613015</v>
      </c>
      <c r="M15" s="69">
        <f t="shared" si="2"/>
        <v>47.784799999999997</v>
      </c>
      <c r="N15" s="70">
        <f t="shared" si="3"/>
        <v>49.862400000000001</v>
      </c>
      <c r="O15" s="71">
        <f t="shared" si="4"/>
        <v>51.94</v>
      </c>
      <c r="P15" s="72">
        <f t="shared" si="5"/>
        <v>115.09936214026219</v>
      </c>
      <c r="Q15" s="72">
        <f t="shared" si="6"/>
        <v>110.30355538441792</v>
      </c>
      <c r="R15" s="73">
        <f t="shared" si="7"/>
        <v>105.8914131690412</v>
      </c>
    </row>
    <row r="16" spans="2:21">
      <c r="B16" s="27" t="s">
        <v>18</v>
      </c>
      <c r="C16" s="28">
        <f t="shared" si="8"/>
        <v>4</v>
      </c>
      <c r="D16" s="29" t="s">
        <v>46</v>
      </c>
      <c r="E16" s="29" t="s">
        <v>23</v>
      </c>
      <c r="F16" s="30">
        <v>5500</v>
      </c>
      <c r="G16" s="28" t="s">
        <v>21</v>
      </c>
      <c r="H16" s="31">
        <v>59.360000000000007</v>
      </c>
      <c r="I16" s="31">
        <v>59.360000000000007</v>
      </c>
      <c r="J16" s="31">
        <f t="shared" si="9"/>
        <v>0</v>
      </c>
      <c r="K16" s="32">
        <f t="shared" si="0"/>
        <v>92.654986522911045</v>
      </c>
      <c r="L16" s="30">
        <f t="shared" si="1"/>
        <v>92.654986522911045</v>
      </c>
      <c r="M16" s="69">
        <f t="shared" si="2"/>
        <v>68.263999999999996</v>
      </c>
      <c r="N16" s="70">
        <f t="shared" si="3"/>
        <v>71.231999999999999</v>
      </c>
      <c r="O16" s="71">
        <f t="shared" si="4"/>
        <v>74.2</v>
      </c>
      <c r="P16" s="72">
        <f t="shared" si="5"/>
        <v>80.569553498183524</v>
      </c>
      <c r="Q16" s="72">
        <f t="shared" si="6"/>
        <v>77.212488769092545</v>
      </c>
      <c r="R16" s="73">
        <f t="shared" si="7"/>
        <v>74.123989218328845</v>
      </c>
    </row>
    <row r="17" spans="2:18">
      <c r="B17" s="27" t="s">
        <v>18</v>
      </c>
      <c r="C17" s="28">
        <f t="shared" si="8"/>
        <v>5</v>
      </c>
      <c r="D17" s="29" t="s">
        <v>47</v>
      </c>
      <c r="E17" s="29" t="s">
        <v>23</v>
      </c>
      <c r="F17" s="30">
        <v>5500</v>
      </c>
      <c r="G17" s="28" t="s">
        <v>21</v>
      </c>
      <c r="H17" s="31">
        <v>59.360000000000007</v>
      </c>
      <c r="I17" s="31">
        <f>H17*0.7</f>
        <v>41.552</v>
      </c>
      <c r="J17" s="31">
        <f t="shared" si="9"/>
        <v>17.808000000000007</v>
      </c>
      <c r="K17" s="32">
        <f t="shared" si="0"/>
        <v>92.654986522911045</v>
      </c>
      <c r="L17" s="30">
        <f t="shared" si="1"/>
        <v>132.3642664613015</v>
      </c>
      <c r="M17" s="69">
        <f t="shared" si="2"/>
        <v>47.784799999999997</v>
      </c>
      <c r="N17" s="70">
        <f t="shared" si="3"/>
        <v>49.862400000000001</v>
      </c>
      <c r="O17" s="71">
        <f t="shared" si="4"/>
        <v>51.94</v>
      </c>
      <c r="P17" s="72">
        <f t="shared" si="5"/>
        <v>115.09936214026219</v>
      </c>
      <c r="Q17" s="72">
        <f t="shared" si="6"/>
        <v>110.30355538441792</v>
      </c>
      <c r="R17" s="73">
        <f t="shared" si="7"/>
        <v>105.8914131690412</v>
      </c>
    </row>
    <row r="18" spans="2:18">
      <c r="B18" s="27" t="s">
        <v>18</v>
      </c>
      <c r="C18" s="28">
        <f t="shared" si="8"/>
        <v>6</v>
      </c>
      <c r="D18" s="29" t="s">
        <v>48</v>
      </c>
      <c r="E18" s="29" t="s">
        <v>49</v>
      </c>
      <c r="F18" s="30">
        <v>5500</v>
      </c>
      <c r="G18" s="28" t="s">
        <v>21</v>
      </c>
      <c r="H18" s="31">
        <v>83.12</v>
      </c>
      <c r="I18" s="31">
        <v>83.12</v>
      </c>
      <c r="J18" s="31">
        <f t="shared" si="9"/>
        <v>0</v>
      </c>
      <c r="K18" s="32">
        <f t="shared" si="0"/>
        <v>66.169393647738204</v>
      </c>
      <c r="L18" s="30">
        <f t="shared" si="1"/>
        <v>66.169393647738204</v>
      </c>
      <c r="M18" s="69">
        <f t="shared" si="2"/>
        <v>95.587999999999994</v>
      </c>
      <c r="N18" s="70">
        <f t="shared" si="3"/>
        <v>99.744</v>
      </c>
      <c r="O18" s="71">
        <f t="shared" si="4"/>
        <v>103.9</v>
      </c>
      <c r="P18" s="72">
        <f t="shared" si="5"/>
        <v>57.538603171946271</v>
      </c>
      <c r="Q18" s="72">
        <f t="shared" si="6"/>
        <v>55.141161373115175</v>
      </c>
      <c r="R18" s="73">
        <f t="shared" si="7"/>
        <v>52.935514918190563</v>
      </c>
    </row>
    <row r="19" spans="2:18">
      <c r="B19" s="27" t="s">
        <v>18</v>
      </c>
      <c r="C19" s="28">
        <f t="shared" si="8"/>
        <v>7</v>
      </c>
      <c r="D19" s="29" t="s">
        <v>50</v>
      </c>
      <c r="E19" s="29" t="s">
        <v>49</v>
      </c>
      <c r="F19" s="30">
        <v>5500</v>
      </c>
      <c r="G19" s="28" t="s">
        <v>21</v>
      </c>
      <c r="H19" s="31">
        <v>83.12</v>
      </c>
      <c r="I19" s="31">
        <v>83.12</v>
      </c>
      <c r="J19" s="31">
        <f t="shared" si="9"/>
        <v>0</v>
      </c>
      <c r="K19" s="32">
        <f t="shared" si="0"/>
        <v>66.169393647738204</v>
      </c>
      <c r="L19" s="30">
        <f t="shared" si="1"/>
        <v>66.169393647738204</v>
      </c>
      <c r="M19" s="69">
        <f t="shared" si="2"/>
        <v>95.587999999999994</v>
      </c>
      <c r="N19" s="70">
        <f t="shared" si="3"/>
        <v>99.744</v>
      </c>
      <c r="O19" s="71">
        <f t="shared" si="4"/>
        <v>103.9</v>
      </c>
      <c r="P19" s="72">
        <f t="shared" si="5"/>
        <v>57.538603171946271</v>
      </c>
      <c r="Q19" s="72">
        <f t="shared" si="6"/>
        <v>55.141161373115175</v>
      </c>
      <c r="R19" s="73">
        <f t="shared" si="7"/>
        <v>52.935514918190563</v>
      </c>
    </row>
    <row r="20" spans="2:18">
      <c r="B20" s="27" t="s">
        <v>18</v>
      </c>
      <c r="C20" s="28">
        <f t="shared" si="8"/>
        <v>8</v>
      </c>
      <c r="D20" s="29" t="s">
        <v>51</v>
      </c>
      <c r="E20" s="29" t="s">
        <v>49</v>
      </c>
      <c r="F20" s="30">
        <v>5500</v>
      </c>
      <c r="G20" s="28" t="s">
        <v>21</v>
      </c>
      <c r="H20" s="31">
        <v>83.12</v>
      </c>
      <c r="I20" s="31">
        <f>H20*0.7</f>
        <v>58.183999999999997</v>
      </c>
      <c r="J20" s="31">
        <f t="shared" si="9"/>
        <v>24.936000000000007</v>
      </c>
      <c r="K20" s="32">
        <f t="shared" si="0"/>
        <v>66.169393647738204</v>
      </c>
      <c r="L20" s="30">
        <f t="shared" si="1"/>
        <v>94.527705211054595</v>
      </c>
      <c r="M20" s="69">
        <f t="shared" si="2"/>
        <v>66.911599999999993</v>
      </c>
      <c r="N20" s="70">
        <f t="shared" si="3"/>
        <v>69.820799999999991</v>
      </c>
      <c r="O20" s="71">
        <f t="shared" si="4"/>
        <v>72.72999999999999</v>
      </c>
      <c r="P20" s="72">
        <f t="shared" si="5"/>
        <v>82.198004531351827</v>
      </c>
      <c r="Q20" s="72">
        <f t="shared" si="6"/>
        <v>78.773087675878827</v>
      </c>
      <c r="R20" s="73">
        <f t="shared" si="7"/>
        <v>75.622164168843682</v>
      </c>
    </row>
    <row r="21" spans="2:18">
      <c r="B21" s="27" t="s">
        <v>18</v>
      </c>
      <c r="C21" s="28">
        <f t="shared" si="8"/>
        <v>9</v>
      </c>
      <c r="D21" s="29" t="s">
        <v>52</v>
      </c>
      <c r="E21" s="29" t="s">
        <v>49</v>
      </c>
      <c r="F21" s="30">
        <v>5500</v>
      </c>
      <c r="G21" s="28" t="s">
        <v>21</v>
      </c>
      <c r="H21" s="31">
        <v>83.12</v>
      </c>
      <c r="I21" s="31">
        <v>83.12</v>
      </c>
      <c r="J21" s="31">
        <f t="shared" si="9"/>
        <v>0</v>
      </c>
      <c r="K21" s="32">
        <f t="shared" si="0"/>
        <v>66.169393647738204</v>
      </c>
      <c r="L21" s="30">
        <f t="shared" si="1"/>
        <v>66.169393647738204</v>
      </c>
      <c r="M21" s="69">
        <f t="shared" si="2"/>
        <v>95.587999999999994</v>
      </c>
      <c r="N21" s="70">
        <f t="shared" si="3"/>
        <v>99.744</v>
      </c>
      <c r="O21" s="71">
        <f t="shared" si="4"/>
        <v>103.9</v>
      </c>
      <c r="P21" s="72">
        <f t="shared" si="5"/>
        <v>57.538603171946271</v>
      </c>
      <c r="Q21" s="72">
        <f t="shared" si="6"/>
        <v>55.141161373115175</v>
      </c>
      <c r="R21" s="73">
        <f t="shared" si="7"/>
        <v>52.935514918190563</v>
      </c>
    </row>
    <row r="22" spans="2:18">
      <c r="B22" s="27" t="s">
        <v>18</v>
      </c>
      <c r="C22" s="28">
        <f t="shared" si="8"/>
        <v>10</v>
      </c>
      <c r="D22" s="29" t="s">
        <v>53</v>
      </c>
      <c r="E22" s="29" t="s">
        <v>49</v>
      </c>
      <c r="F22" s="30">
        <v>5500</v>
      </c>
      <c r="G22" s="28" t="s">
        <v>21</v>
      </c>
      <c r="H22" s="31">
        <v>83.1</v>
      </c>
      <c r="I22" s="31">
        <f>H22*0.7</f>
        <v>58.169999999999995</v>
      </c>
      <c r="J22" s="31">
        <f t="shared" si="9"/>
        <v>24.93</v>
      </c>
      <c r="K22" s="32">
        <f t="shared" si="0"/>
        <v>66.185318892900128</v>
      </c>
      <c r="L22" s="30">
        <f t="shared" si="1"/>
        <v>94.550455561285901</v>
      </c>
      <c r="M22" s="69">
        <f t="shared" si="2"/>
        <v>66.895499999999984</v>
      </c>
      <c r="N22" s="70">
        <f t="shared" si="3"/>
        <v>69.803999999999988</v>
      </c>
      <c r="O22" s="71">
        <f t="shared" si="4"/>
        <v>72.712499999999991</v>
      </c>
      <c r="P22" s="72">
        <f t="shared" si="5"/>
        <v>82.217787444596439</v>
      </c>
      <c r="Q22" s="72">
        <f t="shared" si="6"/>
        <v>78.792046301071579</v>
      </c>
      <c r="R22" s="73">
        <f t="shared" si="7"/>
        <v>75.640364449028723</v>
      </c>
    </row>
    <row r="23" spans="2:18">
      <c r="B23" s="27" t="s">
        <v>18</v>
      </c>
      <c r="C23" s="28">
        <f t="shared" si="8"/>
        <v>11</v>
      </c>
      <c r="D23" s="29" t="s">
        <v>54</v>
      </c>
      <c r="E23" s="29" t="s">
        <v>49</v>
      </c>
      <c r="F23" s="30">
        <v>5500</v>
      </c>
      <c r="G23" s="28" t="s">
        <v>21</v>
      </c>
      <c r="H23" s="31">
        <v>83.1</v>
      </c>
      <c r="I23" s="31">
        <v>83.1</v>
      </c>
      <c r="J23" s="31">
        <f t="shared" si="9"/>
        <v>0</v>
      </c>
      <c r="K23" s="32">
        <f t="shared" si="0"/>
        <v>66.185318892900128</v>
      </c>
      <c r="L23" s="30">
        <f t="shared" si="1"/>
        <v>66.185318892900128</v>
      </c>
      <c r="M23" s="69">
        <f t="shared" si="2"/>
        <v>95.564999999999984</v>
      </c>
      <c r="N23" s="70">
        <f t="shared" si="3"/>
        <v>99.719999999999985</v>
      </c>
      <c r="O23" s="71">
        <f t="shared" si="4"/>
        <v>103.875</v>
      </c>
      <c r="P23" s="72">
        <f t="shared" si="5"/>
        <v>57.552451211217509</v>
      </c>
      <c r="Q23" s="72">
        <f t="shared" si="6"/>
        <v>55.154432410750111</v>
      </c>
      <c r="R23" s="73">
        <f t="shared" si="7"/>
        <v>52.948255114320098</v>
      </c>
    </row>
    <row r="24" spans="2:18">
      <c r="B24" s="27" t="s">
        <v>18</v>
      </c>
      <c r="C24" s="28">
        <f t="shared" si="8"/>
        <v>12</v>
      </c>
      <c r="D24" s="29" t="s">
        <v>55</v>
      </c>
      <c r="E24" s="29" t="s">
        <v>56</v>
      </c>
      <c r="F24" s="30">
        <v>5500</v>
      </c>
      <c r="G24" s="28" t="s">
        <v>21</v>
      </c>
      <c r="H24" s="31">
        <v>83.1</v>
      </c>
      <c r="I24" s="31">
        <v>83.1</v>
      </c>
      <c r="J24" s="31">
        <f t="shared" si="9"/>
        <v>0</v>
      </c>
      <c r="K24" s="32">
        <f t="shared" si="0"/>
        <v>66.185318892900128</v>
      </c>
      <c r="L24" s="30">
        <f t="shared" si="1"/>
        <v>66.185318892900128</v>
      </c>
      <c r="M24" s="69">
        <f t="shared" si="2"/>
        <v>95.564999999999984</v>
      </c>
      <c r="N24" s="70">
        <f t="shared" si="3"/>
        <v>99.719999999999985</v>
      </c>
      <c r="O24" s="71">
        <f t="shared" si="4"/>
        <v>103.875</v>
      </c>
      <c r="P24" s="72">
        <f t="shared" si="5"/>
        <v>57.552451211217509</v>
      </c>
      <c r="Q24" s="72">
        <f t="shared" si="6"/>
        <v>55.154432410750111</v>
      </c>
      <c r="R24" s="73">
        <f t="shared" si="7"/>
        <v>52.948255114320098</v>
      </c>
    </row>
    <row r="25" spans="2:18">
      <c r="B25" s="27" t="s">
        <v>18</v>
      </c>
      <c r="C25" s="28">
        <f t="shared" si="8"/>
        <v>13</v>
      </c>
      <c r="D25" s="29" t="s">
        <v>57</v>
      </c>
      <c r="E25" s="29" t="s">
        <v>23</v>
      </c>
      <c r="F25" s="30">
        <v>5500</v>
      </c>
      <c r="G25" s="28" t="s">
        <v>21</v>
      </c>
      <c r="H25" s="31">
        <v>59.4</v>
      </c>
      <c r="I25" s="31">
        <v>59.4</v>
      </c>
      <c r="J25" s="31">
        <f t="shared" si="9"/>
        <v>0</v>
      </c>
      <c r="K25" s="32">
        <f t="shared" si="0"/>
        <v>92.592592592592595</v>
      </c>
      <c r="L25" s="30">
        <f t="shared" si="1"/>
        <v>92.592592592592595</v>
      </c>
      <c r="M25" s="69">
        <f t="shared" si="2"/>
        <v>68.309999999999988</v>
      </c>
      <c r="N25" s="70">
        <f t="shared" si="3"/>
        <v>71.28</v>
      </c>
      <c r="O25" s="71">
        <f t="shared" si="4"/>
        <v>74.25</v>
      </c>
      <c r="P25" s="72">
        <f t="shared" si="5"/>
        <v>80.515297906602271</v>
      </c>
      <c r="Q25" s="72">
        <f t="shared" si="6"/>
        <v>77.160493827160494</v>
      </c>
      <c r="R25" s="73">
        <f t="shared" si="7"/>
        <v>74.074074074074076</v>
      </c>
    </row>
    <row r="26" spans="2:18">
      <c r="B26" s="27" t="s">
        <v>18</v>
      </c>
      <c r="C26" s="28">
        <f t="shared" si="8"/>
        <v>14</v>
      </c>
      <c r="D26" s="29" t="s">
        <v>58</v>
      </c>
      <c r="E26" s="29" t="s">
        <v>23</v>
      </c>
      <c r="F26" s="30">
        <v>5500</v>
      </c>
      <c r="G26" s="28" t="s">
        <v>21</v>
      </c>
      <c r="H26" s="31">
        <v>59.4</v>
      </c>
      <c r="I26" s="31">
        <v>59.4</v>
      </c>
      <c r="J26" s="31">
        <f t="shared" si="9"/>
        <v>0</v>
      </c>
      <c r="K26" s="32">
        <f t="shared" si="0"/>
        <v>92.592592592592595</v>
      </c>
      <c r="L26" s="30">
        <f t="shared" si="1"/>
        <v>92.592592592592595</v>
      </c>
      <c r="M26" s="69">
        <f t="shared" si="2"/>
        <v>68.309999999999988</v>
      </c>
      <c r="N26" s="70">
        <f t="shared" si="3"/>
        <v>71.28</v>
      </c>
      <c r="O26" s="71">
        <f t="shared" si="4"/>
        <v>74.25</v>
      </c>
      <c r="P26" s="72">
        <f t="shared" si="5"/>
        <v>80.515297906602271</v>
      </c>
      <c r="Q26" s="72">
        <f t="shared" si="6"/>
        <v>77.160493827160494</v>
      </c>
      <c r="R26" s="73">
        <f t="shared" si="7"/>
        <v>74.074074074074076</v>
      </c>
    </row>
    <row r="27" spans="2:18">
      <c r="B27" s="27" t="s">
        <v>18</v>
      </c>
      <c r="C27" s="28">
        <f t="shared" si="8"/>
        <v>15</v>
      </c>
      <c r="D27" s="29" t="s">
        <v>59</v>
      </c>
      <c r="E27" s="29" t="s">
        <v>60</v>
      </c>
      <c r="F27" s="30">
        <v>4000</v>
      </c>
      <c r="G27" s="28" t="s">
        <v>21</v>
      </c>
      <c r="H27" s="31">
        <v>69.2</v>
      </c>
      <c r="I27" s="31">
        <f>H27*0.7</f>
        <v>48.44</v>
      </c>
      <c r="J27" s="31">
        <f t="shared" si="9"/>
        <v>20.760000000000005</v>
      </c>
      <c r="K27" s="32">
        <f t="shared" si="0"/>
        <v>57.803468208092482</v>
      </c>
      <c r="L27" s="30">
        <f t="shared" si="1"/>
        <v>82.57638315441784</v>
      </c>
      <c r="M27" s="69">
        <f t="shared" si="2"/>
        <v>55.705999999999996</v>
      </c>
      <c r="N27" s="70">
        <f t="shared" si="3"/>
        <v>58.127999999999993</v>
      </c>
      <c r="O27" s="71">
        <f t="shared" si="4"/>
        <v>60.55</v>
      </c>
      <c r="P27" s="72">
        <f t="shared" si="5"/>
        <v>71.805550569058994</v>
      </c>
      <c r="Q27" s="72">
        <f t="shared" si="6"/>
        <v>68.813652628681538</v>
      </c>
      <c r="R27" s="73">
        <f t="shared" si="7"/>
        <v>66.061106523534278</v>
      </c>
    </row>
    <row r="28" spans="2:18">
      <c r="B28" s="27" t="s">
        <v>18</v>
      </c>
      <c r="C28" s="28">
        <f t="shared" si="8"/>
        <v>16</v>
      </c>
      <c r="D28" s="29" t="s">
        <v>61</v>
      </c>
      <c r="E28" s="29" t="s">
        <v>49</v>
      </c>
      <c r="F28" s="30">
        <v>4000</v>
      </c>
      <c r="G28" s="28" t="s">
        <v>21</v>
      </c>
      <c r="H28" s="31">
        <v>69.2</v>
      </c>
      <c r="I28" s="31">
        <v>69.2</v>
      </c>
      <c r="J28" s="31">
        <f t="shared" si="9"/>
        <v>0</v>
      </c>
      <c r="K28" s="32">
        <f t="shared" si="0"/>
        <v>57.803468208092482</v>
      </c>
      <c r="L28" s="30">
        <f t="shared" si="1"/>
        <v>57.803468208092482</v>
      </c>
      <c r="M28" s="69">
        <f t="shared" si="2"/>
        <v>79.58</v>
      </c>
      <c r="N28" s="70">
        <f t="shared" si="3"/>
        <v>83.04</v>
      </c>
      <c r="O28" s="71">
        <f t="shared" si="4"/>
        <v>86.5</v>
      </c>
      <c r="P28" s="72">
        <f t="shared" si="5"/>
        <v>50.263885398341294</v>
      </c>
      <c r="Q28" s="72">
        <f t="shared" si="6"/>
        <v>48.169556840077071</v>
      </c>
      <c r="R28" s="73">
        <f t="shared" si="7"/>
        <v>46.24277456647399</v>
      </c>
    </row>
    <row r="29" spans="2:18">
      <c r="B29" s="27" t="s">
        <v>18</v>
      </c>
      <c r="C29" s="28">
        <f t="shared" si="8"/>
        <v>17</v>
      </c>
      <c r="D29" s="29" t="s">
        <v>62</v>
      </c>
      <c r="E29" s="29" t="s">
        <v>49</v>
      </c>
      <c r="F29" s="30">
        <v>4000</v>
      </c>
      <c r="G29" s="28" t="s">
        <v>21</v>
      </c>
      <c r="H29" s="31">
        <v>69.2</v>
      </c>
      <c r="I29" s="31">
        <v>69.2</v>
      </c>
      <c r="J29" s="31">
        <f t="shared" si="9"/>
        <v>0</v>
      </c>
      <c r="K29" s="32">
        <f t="shared" si="0"/>
        <v>57.803468208092482</v>
      </c>
      <c r="L29" s="30">
        <f t="shared" si="1"/>
        <v>57.803468208092482</v>
      </c>
      <c r="M29" s="69">
        <f t="shared" si="2"/>
        <v>79.58</v>
      </c>
      <c r="N29" s="70">
        <f t="shared" si="3"/>
        <v>83.04</v>
      </c>
      <c r="O29" s="71">
        <f t="shared" si="4"/>
        <v>86.5</v>
      </c>
      <c r="P29" s="72">
        <f t="shared" si="5"/>
        <v>50.263885398341294</v>
      </c>
      <c r="Q29" s="72">
        <f t="shared" si="6"/>
        <v>48.169556840077071</v>
      </c>
      <c r="R29" s="73">
        <f t="shared" si="7"/>
        <v>46.24277456647399</v>
      </c>
    </row>
    <row r="30" spans="2:18">
      <c r="B30" s="27" t="s">
        <v>18</v>
      </c>
      <c r="C30" s="28">
        <f t="shared" si="8"/>
        <v>18</v>
      </c>
      <c r="D30" s="29" t="s">
        <v>63</v>
      </c>
      <c r="E30" s="29" t="s">
        <v>49</v>
      </c>
      <c r="F30" s="30">
        <v>4000</v>
      </c>
      <c r="G30" s="28" t="s">
        <v>21</v>
      </c>
      <c r="H30" s="31">
        <v>69.2</v>
      </c>
      <c r="I30" s="31">
        <v>69.2</v>
      </c>
      <c r="J30" s="31">
        <f t="shared" si="9"/>
        <v>0</v>
      </c>
      <c r="K30" s="32">
        <f t="shared" si="0"/>
        <v>57.803468208092482</v>
      </c>
      <c r="L30" s="30">
        <f t="shared" si="1"/>
        <v>57.803468208092482</v>
      </c>
      <c r="M30" s="69">
        <f t="shared" si="2"/>
        <v>79.58</v>
      </c>
      <c r="N30" s="70">
        <f t="shared" si="3"/>
        <v>83.04</v>
      </c>
      <c r="O30" s="71">
        <f t="shared" si="4"/>
        <v>86.5</v>
      </c>
      <c r="P30" s="72">
        <f t="shared" si="5"/>
        <v>50.263885398341294</v>
      </c>
      <c r="Q30" s="72">
        <f t="shared" si="6"/>
        <v>48.169556840077071</v>
      </c>
      <c r="R30" s="73">
        <f t="shared" si="7"/>
        <v>46.24277456647399</v>
      </c>
    </row>
    <row r="31" spans="2:18">
      <c r="B31" s="27" t="s">
        <v>18</v>
      </c>
      <c r="C31" s="28">
        <f t="shared" si="8"/>
        <v>19</v>
      </c>
      <c r="D31" s="29" t="s">
        <v>64</v>
      </c>
      <c r="E31" s="29" t="s">
        <v>23</v>
      </c>
      <c r="F31" s="30">
        <v>1500</v>
      </c>
      <c r="G31" s="28" t="s">
        <v>21</v>
      </c>
      <c r="H31" s="31">
        <v>39.120000000000005</v>
      </c>
      <c r="I31" s="31">
        <v>39.120000000000005</v>
      </c>
      <c r="J31" s="31">
        <f t="shared" si="9"/>
        <v>0</v>
      </c>
      <c r="K31" s="32">
        <f t="shared" si="0"/>
        <v>38.343558282208583</v>
      </c>
      <c r="L31" s="30">
        <f t="shared" si="1"/>
        <v>38.343558282208583</v>
      </c>
      <c r="M31" s="69">
        <f t="shared" si="2"/>
        <v>44.988</v>
      </c>
      <c r="N31" s="70">
        <f t="shared" si="3"/>
        <v>46.944000000000003</v>
      </c>
      <c r="O31" s="71">
        <f t="shared" si="4"/>
        <v>48.900000000000006</v>
      </c>
      <c r="P31" s="72">
        <f t="shared" si="5"/>
        <v>33.342224593224863</v>
      </c>
      <c r="Q31" s="72">
        <f t="shared" si="6"/>
        <v>31.952965235173821</v>
      </c>
      <c r="R31" s="73">
        <f t="shared" si="7"/>
        <v>30.674846625766868</v>
      </c>
    </row>
    <row r="32" spans="2:18">
      <c r="B32" s="27" t="s">
        <v>18</v>
      </c>
      <c r="C32" s="28">
        <f t="shared" si="8"/>
        <v>20</v>
      </c>
      <c r="D32" s="29" t="s">
        <v>65</v>
      </c>
      <c r="E32" s="29" t="s">
        <v>23</v>
      </c>
      <c r="F32" s="30">
        <v>1500</v>
      </c>
      <c r="G32" s="28" t="s">
        <v>21</v>
      </c>
      <c r="H32" s="31">
        <v>39.120000000000005</v>
      </c>
      <c r="I32" s="31">
        <v>39.120000000000005</v>
      </c>
      <c r="J32" s="31">
        <f t="shared" si="9"/>
        <v>0</v>
      </c>
      <c r="K32" s="32">
        <f t="shared" si="0"/>
        <v>38.343558282208583</v>
      </c>
      <c r="L32" s="30">
        <f t="shared" si="1"/>
        <v>38.343558282208583</v>
      </c>
      <c r="M32" s="69">
        <f t="shared" si="2"/>
        <v>44.988</v>
      </c>
      <c r="N32" s="70">
        <f t="shared" si="3"/>
        <v>46.944000000000003</v>
      </c>
      <c r="O32" s="71">
        <f t="shared" si="4"/>
        <v>48.900000000000006</v>
      </c>
      <c r="P32" s="72">
        <f t="shared" si="5"/>
        <v>33.342224593224863</v>
      </c>
      <c r="Q32" s="72">
        <f t="shared" si="6"/>
        <v>31.952965235173821</v>
      </c>
      <c r="R32" s="73">
        <f t="shared" si="7"/>
        <v>30.674846625766868</v>
      </c>
    </row>
    <row r="33" spans="2:18">
      <c r="B33" s="27" t="s">
        <v>18</v>
      </c>
      <c r="C33" s="28">
        <f t="shared" si="8"/>
        <v>21</v>
      </c>
      <c r="D33" s="29" t="s">
        <v>66</v>
      </c>
      <c r="E33" s="29" t="s">
        <v>23</v>
      </c>
      <c r="F33" s="30">
        <v>1500</v>
      </c>
      <c r="G33" s="28" t="s">
        <v>21</v>
      </c>
      <c r="H33" s="31">
        <v>35.119999999999997</v>
      </c>
      <c r="I33" s="31">
        <f>H33*0.7</f>
        <v>24.583999999999996</v>
      </c>
      <c r="J33" s="31">
        <f t="shared" si="9"/>
        <v>10.536000000000001</v>
      </c>
      <c r="K33" s="32">
        <f t="shared" si="0"/>
        <v>42.710706150341686</v>
      </c>
      <c r="L33" s="30">
        <f t="shared" si="1"/>
        <v>61.015294500488132</v>
      </c>
      <c r="M33" s="69">
        <f t="shared" si="2"/>
        <v>28.271599999999992</v>
      </c>
      <c r="N33" s="70">
        <f t="shared" si="3"/>
        <v>29.500799999999995</v>
      </c>
      <c r="O33" s="71">
        <f t="shared" si="4"/>
        <v>30.729999999999997</v>
      </c>
      <c r="P33" s="72">
        <f t="shared" si="5"/>
        <v>53.056777826511428</v>
      </c>
      <c r="Q33" s="72">
        <f t="shared" si="6"/>
        <v>50.846078750406775</v>
      </c>
      <c r="R33" s="73">
        <f t="shared" si="7"/>
        <v>48.812235600390501</v>
      </c>
    </row>
    <row r="34" spans="2:18">
      <c r="B34" s="27" t="s">
        <v>18</v>
      </c>
      <c r="C34" s="28">
        <f t="shared" si="8"/>
        <v>22</v>
      </c>
      <c r="D34" s="29" t="s">
        <v>67</v>
      </c>
      <c r="E34" s="29" t="s">
        <v>23</v>
      </c>
      <c r="F34" s="30">
        <v>1500</v>
      </c>
      <c r="G34" s="28" t="s">
        <v>21</v>
      </c>
      <c r="H34" s="31">
        <v>39.120000000000005</v>
      </c>
      <c r="I34" s="31">
        <f>H34*0.7</f>
        <v>27.384</v>
      </c>
      <c r="J34" s="31">
        <f t="shared" si="9"/>
        <v>11.736000000000004</v>
      </c>
      <c r="K34" s="32">
        <f t="shared" si="0"/>
        <v>38.343558282208583</v>
      </c>
      <c r="L34" s="30">
        <f t="shared" si="1"/>
        <v>54.776511831726552</v>
      </c>
      <c r="M34" s="69">
        <f t="shared" si="2"/>
        <v>31.491599999999998</v>
      </c>
      <c r="N34" s="70">
        <f t="shared" si="3"/>
        <v>32.860799999999998</v>
      </c>
      <c r="O34" s="71">
        <f t="shared" si="4"/>
        <v>34.230000000000004</v>
      </c>
      <c r="P34" s="72">
        <f t="shared" si="5"/>
        <v>47.63174941889266</v>
      </c>
      <c r="Q34" s="72">
        <f t="shared" si="6"/>
        <v>45.647093193105469</v>
      </c>
      <c r="R34" s="73">
        <f t="shared" si="7"/>
        <v>43.821209465381237</v>
      </c>
    </row>
    <row r="35" spans="2:18">
      <c r="B35" s="27" t="s">
        <v>18</v>
      </c>
      <c r="C35" s="28">
        <f t="shared" si="8"/>
        <v>23</v>
      </c>
      <c r="D35" s="29" t="s">
        <v>68</v>
      </c>
      <c r="E35" s="29" t="s">
        <v>23</v>
      </c>
      <c r="F35" s="30">
        <v>1500</v>
      </c>
      <c r="G35" s="28" t="s">
        <v>21</v>
      </c>
      <c r="H35" s="31">
        <v>39.120000000000005</v>
      </c>
      <c r="I35" s="31">
        <v>39.120000000000005</v>
      </c>
      <c r="J35" s="31">
        <f t="shared" si="9"/>
        <v>0</v>
      </c>
      <c r="K35" s="32">
        <f t="shared" si="0"/>
        <v>38.343558282208583</v>
      </c>
      <c r="L35" s="30">
        <f t="shared" si="1"/>
        <v>38.343558282208583</v>
      </c>
      <c r="M35" s="69">
        <f t="shared" si="2"/>
        <v>44.988</v>
      </c>
      <c r="N35" s="70">
        <f t="shared" si="3"/>
        <v>46.944000000000003</v>
      </c>
      <c r="O35" s="71">
        <f t="shared" si="4"/>
        <v>48.900000000000006</v>
      </c>
      <c r="P35" s="72">
        <f t="shared" si="5"/>
        <v>33.342224593224863</v>
      </c>
      <c r="Q35" s="72">
        <f t="shared" si="6"/>
        <v>31.952965235173821</v>
      </c>
      <c r="R35" s="73">
        <f t="shared" si="7"/>
        <v>30.674846625766868</v>
      </c>
    </row>
    <row r="36" spans="2:18">
      <c r="B36" s="27" t="s">
        <v>18</v>
      </c>
      <c r="C36" s="28">
        <f t="shared" si="8"/>
        <v>24</v>
      </c>
      <c r="D36" s="29" t="s">
        <v>69</v>
      </c>
      <c r="E36" s="29" t="s">
        <v>23</v>
      </c>
      <c r="F36" s="30">
        <v>1500</v>
      </c>
      <c r="G36" s="28" t="s">
        <v>21</v>
      </c>
      <c r="H36" s="31">
        <v>39.120000000000005</v>
      </c>
      <c r="I36" s="31">
        <f>H36*0.7</f>
        <v>27.384</v>
      </c>
      <c r="J36" s="31">
        <f t="shared" si="9"/>
        <v>11.736000000000004</v>
      </c>
      <c r="K36" s="32">
        <f t="shared" si="0"/>
        <v>38.343558282208583</v>
      </c>
      <c r="L36" s="30">
        <f t="shared" si="1"/>
        <v>54.776511831726552</v>
      </c>
      <c r="M36" s="69">
        <f t="shared" si="2"/>
        <v>31.491599999999998</v>
      </c>
      <c r="N36" s="70">
        <f t="shared" si="3"/>
        <v>32.860799999999998</v>
      </c>
      <c r="O36" s="71">
        <f t="shared" si="4"/>
        <v>34.230000000000004</v>
      </c>
      <c r="P36" s="72">
        <f t="shared" si="5"/>
        <v>47.63174941889266</v>
      </c>
      <c r="Q36" s="72">
        <f t="shared" si="6"/>
        <v>45.647093193105469</v>
      </c>
      <c r="R36" s="73">
        <f t="shared" si="7"/>
        <v>43.821209465381237</v>
      </c>
    </row>
    <row r="37" spans="2:18">
      <c r="B37" s="27" t="s">
        <v>18</v>
      </c>
      <c r="C37" s="28">
        <f t="shared" si="8"/>
        <v>25</v>
      </c>
      <c r="D37" s="29" t="s">
        <v>70</v>
      </c>
      <c r="E37" s="29" t="s">
        <v>23</v>
      </c>
      <c r="F37" s="30">
        <v>1500</v>
      </c>
      <c r="G37" s="28" t="s">
        <v>21</v>
      </c>
      <c r="H37" s="31">
        <v>39.120000000000005</v>
      </c>
      <c r="I37" s="31">
        <f>H37*0.6</f>
        <v>23.472000000000001</v>
      </c>
      <c r="J37" s="31">
        <f t="shared" si="9"/>
        <v>15.648000000000003</v>
      </c>
      <c r="K37" s="32">
        <f t="shared" si="0"/>
        <v>38.343558282208583</v>
      </c>
      <c r="L37" s="30">
        <f t="shared" si="1"/>
        <v>63.905930470347641</v>
      </c>
      <c r="M37" s="69">
        <f t="shared" si="2"/>
        <v>26.992799999999999</v>
      </c>
      <c r="N37" s="70">
        <f t="shared" si="3"/>
        <v>28.166399999999999</v>
      </c>
      <c r="O37" s="71">
        <f t="shared" si="4"/>
        <v>29.340000000000003</v>
      </c>
      <c r="P37" s="72">
        <f t="shared" si="5"/>
        <v>55.570374322041438</v>
      </c>
      <c r="Q37" s="72">
        <f t="shared" si="6"/>
        <v>53.254942058623044</v>
      </c>
      <c r="R37" s="73">
        <f t="shared" si="7"/>
        <v>51.124744376278116</v>
      </c>
    </row>
    <row r="38" spans="2:18">
      <c r="B38" s="27" t="s">
        <v>18</v>
      </c>
      <c r="C38" s="28">
        <f t="shared" si="8"/>
        <v>26</v>
      </c>
      <c r="D38" s="29" t="s">
        <v>71</v>
      </c>
      <c r="E38" s="29" t="s">
        <v>23</v>
      </c>
      <c r="F38" s="30">
        <v>1500</v>
      </c>
      <c r="G38" s="28" t="s">
        <v>21</v>
      </c>
      <c r="H38" s="31">
        <v>39.120000000000005</v>
      </c>
      <c r="I38" s="31">
        <v>39.120000000000005</v>
      </c>
      <c r="J38" s="31">
        <f t="shared" si="9"/>
        <v>0</v>
      </c>
      <c r="K38" s="32">
        <f t="shared" si="0"/>
        <v>38.343558282208583</v>
      </c>
      <c r="L38" s="30">
        <f t="shared" si="1"/>
        <v>38.343558282208583</v>
      </c>
      <c r="M38" s="69">
        <f t="shared" si="2"/>
        <v>44.988</v>
      </c>
      <c r="N38" s="70">
        <f t="shared" si="3"/>
        <v>46.944000000000003</v>
      </c>
      <c r="O38" s="71">
        <f t="shared" si="4"/>
        <v>48.900000000000006</v>
      </c>
      <c r="P38" s="72">
        <f t="shared" si="5"/>
        <v>33.342224593224863</v>
      </c>
      <c r="Q38" s="72">
        <f t="shared" si="6"/>
        <v>31.952965235173821</v>
      </c>
      <c r="R38" s="73">
        <f t="shared" si="7"/>
        <v>30.674846625766868</v>
      </c>
    </row>
    <row r="39" spans="2:18" ht="10.5" thickBot="1">
      <c r="B39" s="34" t="s">
        <v>18</v>
      </c>
      <c r="C39" s="35">
        <f t="shared" si="8"/>
        <v>27</v>
      </c>
      <c r="D39" s="36" t="s">
        <v>72</v>
      </c>
      <c r="E39" s="36" t="s">
        <v>23</v>
      </c>
      <c r="F39" s="37">
        <v>1500</v>
      </c>
      <c r="G39" s="35" t="s">
        <v>21</v>
      </c>
      <c r="H39" s="38">
        <v>39.120000000000005</v>
      </c>
      <c r="I39" s="38">
        <f>H39*0.7</f>
        <v>27.384</v>
      </c>
      <c r="J39" s="38">
        <f t="shared" si="9"/>
        <v>11.736000000000004</v>
      </c>
      <c r="K39" s="39">
        <f t="shared" si="0"/>
        <v>38.343558282208583</v>
      </c>
      <c r="L39" s="37">
        <f t="shared" si="1"/>
        <v>54.776511831726552</v>
      </c>
      <c r="M39" s="74">
        <f t="shared" si="2"/>
        <v>31.491599999999998</v>
      </c>
      <c r="N39" s="75">
        <f t="shared" si="3"/>
        <v>32.860799999999998</v>
      </c>
      <c r="O39" s="76">
        <f t="shared" si="4"/>
        <v>34.230000000000004</v>
      </c>
      <c r="P39" s="77">
        <f t="shared" si="5"/>
        <v>47.63174941889266</v>
      </c>
      <c r="Q39" s="77">
        <f t="shared" si="6"/>
        <v>45.647093193105469</v>
      </c>
      <c r="R39" s="78">
        <f t="shared" si="7"/>
        <v>43.821209465381237</v>
      </c>
    </row>
    <row r="40" spans="2:18" ht="10.5" thickBot="1">
      <c r="F40" s="58">
        <f>SUM(F13:F39)</f>
        <v>108000</v>
      </c>
      <c r="H40" s="59">
        <f>SUM(H13:H39)</f>
        <v>1651.3799999999992</v>
      </c>
      <c r="I40" s="59">
        <f>SUM(I13:I39)</f>
        <v>1465.9380000000006</v>
      </c>
      <c r="J40" s="59">
        <f>H40-I40</f>
        <v>185.44199999999864</v>
      </c>
      <c r="K40" s="60">
        <f>F40/H40</f>
        <v>65.399847400356094</v>
      </c>
      <c r="L40" s="60">
        <f>F40/I40</f>
        <v>73.672965705234432</v>
      </c>
      <c r="M40" s="79">
        <f>SUM(M13:M39)</f>
        <v>1685.8286999999998</v>
      </c>
      <c r="N40" s="79">
        <f t="shared" ref="N40:O40" si="10">SUM(N13:N39)</f>
        <v>1759.1255999999996</v>
      </c>
      <c r="O40" s="79">
        <f t="shared" si="10"/>
        <v>1832.4225000000001</v>
      </c>
      <c r="P40" s="58">
        <f>F40/M40</f>
        <v>64.063448439334323</v>
      </c>
      <c r="Q40" s="58">
        <f>F40/N40</f>
        <v>61.394138087695403</v>
      </c>
      <c r="R40" s="58">
        <f>F40/O40</f>
        <v>58.938372564187567</v>
      </c>
    </row>
    <row r="41" spans="2:18" ht="10.5" thickBot="1"/>
    <row r="42" spans="2:18" ht="12.6" customHeight="1">
      <c r="B42" s="98" t="s">
        <v>73</v>
      </c>
      <c r="C42" s="99"/>
      <c r="D42" s="99"/>
      <c r="E42" s="99"/>
      <c r="F42" s="99"/>
      <c r="G42" s="99"/>
      <c r="H42" s="99"/>
      <c r="I42" s="99"/>
      <c r="J42" s="99"/>
      <c r="K42" s="99"/>
      <c r="L42" s="100"/>
    </row>
    <row r="43" spans="2:18" ht="9.9499999999999993" customHeight="1">
      <c r="B43" s="101"/>
      <c r="C43" s="102"/>
      <c r="D43" s="102"/>
      <c r="E43" s="102"/>
      <c r="F43" s="102"/>
      <c r="G43" s="102"/>
      <c r="H43" s="102"/>
      <c r="I43" s="102"/>
      <c r="J43" s="102"/>
      <c r="K43" s="102"/>
      <c r="L43" s="103"/>
    </row>
    <row r="44" spans="2:18" ht="9.9499999999999993" customHeight="1">
      <c r="B44" s="101"/>
      <c r="C44" s="102"/>
      <c r="D44" s="102"/>
      <c r="E44" s="102"/>
      <c r="F44" s="102"/>
      <c r="G44" s="102"/>
      <c r="H44" s="102"/>
      <c r="I44" s="102"/>
      <c r="J44" s="102"/>
      <c r="K44" s="102"/>
      <c r="L44" s="103"/>
    </row>
    <row r="45" spans="2:18" ht="9.9499999999999993" customHeight="1">
      <c r="B45" s="101"/>
      <c r="C45" s="102"/>
      <c r="D45" s="102"/>
      <c r="E45" s="102"/>
      <c r="F45" s="102"/>
      <c r="G45" s="102"/>
      <c r="H45" s="102"/>
      <c r="I45" s="102"/>
      <c r="J45" s="102"/>
      <c r="K45" s="102"/>
      <c r="L45" s="103"/>
    </row>
    <row r="46" spans="2:18" ht="9.9499999999999993" customHeight="1">
      <c r="B46" s="101"/>
      <c r="C46" s="102"/>
      <c r="D46" s="102"/>
      <c r="E46" s="102"/>
      <c r="F46" s="102"/>
      <c r="G46" s="102"/>
      <c r="H46" s="102"/>
      <c r="I46" s="102"/>
      <c r="J46" s="102"/>
      <c r="K46" s="102"/>
      <c r="L46" s="103"/>
    </row>
    <row r="47" spans="2:18" ht="9.9499999999999993" customHeight="1" thickBot="1">
      <c r="B47" s="104"/>
      <c r="C47" s="105"/>
      <c r="D47" s="105"/>
      <c r="E47" s="105"/>
      <c r="F47" s="105"/>
      <c r="G47" s="105"/>
      <c r="H47" s="105"/>
      <c r="I47" s="105"/>
      <c r="J47" s="105"/>
      <c r="K47" s="105"/>
      <c r="L47" s="106"/>
    </row>
    <row r="48" spans="2:18" ht="9.9499999999999993" customHeight="1">
      <c r="B48" s="130" t="s">
        <v>31</v>
      </c>
      <c r="C48" s="131"/>
      <c r="D48" s="131"/>
      <c r="E48" s="131"/>
      <c r="F48" s="131"/>
      <c r="G48" s="131"/>
      <c r="H48" s="131"/>
      <c r="I48" s="131"/>
      <c r="J48" s="131"/>
      <c r="K48" s="131"/>
      <c r="L48" s="132"/>
    </row>
    <row r="49" spans="2:12" ht="9.9499999999999993" customHeight="1" thickBot="1">
      <c r="B49" s="140" t="s">
        <v>74</v>
      </c>
      <c r="C49" s="141"/>
      <c r="D49" s="141"/>
      <c r="E49" s="141"/>
      <c r="F49" s="141"/>
      <c r="G49" s="141"/>
      <c r="H49" s="141"/>
      <c r="I49" s="141"/>
      <c r="J49" s="141"/>
      <c r="K49" s="141"/>
      <c r="L49" s="142"/>
    </row>
    <row r="50" spans="2:12" ht="10.5" customHeight="1">
      <c r="B50" s="95"/>
      <c r="C50" s="95"/>
      <c r="D50" s="95"/>
      <c r="E50" s="95"/>
      <c r="F50" s="95"/>
      <c r="G50" s="95"/>
      <c r="H50" s="95"/>
      <c r="I50" s="95"/>
      <c r="J50" s="95"/>
      <c r="K50" s="95"/>
    </row>
  </sheetData>
  <mergeCells count="13">
    <mergeCell ref="T4:U4"/>
    <mergeCell ref="M4:R10"/>
    <mergeCell ref="H7:L10"/>
    <mergeCell ref="M11:R11"/>
    <mergeCell ref="B48:L48"/>
    <mergeCell ref="B49:L49"/>
    <mergeCell ref="B50:K50"/>
    <mergeCell ref="H11:H12"/>
    <mergeCell ref="I11:I12"/>
    <mergeCell ref="J11:J12"/>
    <mergeCell ref="K11:K12"/>
    <mergeCell ref="L11:L12"/>
    <mergeCell ref="B42:L4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6A30D-95BD-4077-9AE9-7FA236FF002F}">
  <dimension ref="B2:G33"/>
  <sheetViews>
    <sheetView showGridLines="0" zoomScale="145" zoomScaleNormal="145" workbookViewId="0">
      <selection activeCell="D40" sqref="D40"/>
    </sheetView>
  </sheetViews>
  <sheetFormatPr defaultRowHeight="9.9499999999999993"/>
  <cols>
    <col min="1" max="2" width="13.1640625" customWidth="1"/>
    <col min="3" max="3" width="28" customWidth="1"/>
    <col min="4" max="4" width="13.1640625" customWidth="1"/>
    <col min="5" max="5" width="11.1640625" bestFit="1" customWidth="1"/>
    <col min="6" max="256" width="13.1640625" customWidth="1"/>
  </cols>
  <sheetData>
    <row r="2" spans="2:7" ht="10.5" thickBot="1"/>
    <row r="3" spans="2:7" ht="21.6" thickBot="1">
      <c r="B3" s="91" t="s">
        <v>91</v>
      </c>
      <c r="C3" s="90" t="s">
        <v>92</v>
      </c>
      <c r="D3" s="90" t="s">
        <v>93</v>
      </c>
      <c r="E3" s="90" t="s">
        <v>94</v>
      </c>
      <c r="F3" s="90" t="s">
        <v>95</v>
      </c>
      <c r="G3" s="90" t="s">
        <v>96</v>
      </c>
    </row>
    <row r="4" spans="2:7" ht="11.1" thickBot="1">
      <c r="B4" s="86" t="s">
        <v>97</v>
      </c>
      <c r="C4" s="87" t="s">
        <v>98</v>
      </c>
      <c r="D4" s="87" t="s">
        <v>99</v>
      </c>
      <c r="E4" s="88">
        <v>0.5</v>
      </c>
      <c r="F4" s="89">
        <v>42.71</v>
      </c>
      <c r="G4" s="92">
        <v>4</v>
      </c>
    </row>
    <row r="5" spans="2:7" ht="11.1" thickBot="1">
      <c r="B5" s="86" t="s">
        <v>100</v>
      </c>
      <c r="C5" s="87" t="s">
        <v>101</v>
      </c>
      <c r="D5" s="87" t="s">
        <v>102</v>
      </c>
      <c r="E5" s="88">
        <v>0.6</v>
      </c>
      <c r="F5" s="89">
        <v>43.33</v>
      </c>
      <c r="G5" s="92">
        <v>3</v>
      </c>
    </row>
    <row r="6" spans="2:7" ht="11.1" thickBot="1">
      <c r="B6" s="86" t="s">
        <v>103</v>
      </c>
      <c r="C6" s="87" t="s">
        <v>104</v>
      </c>
      <c r="D6" s="87" t="s">
        <v>102</v>
      </c>
      <c r="E6" s="88">
        <v>0.6</v>
      </c>
      <c r="F6" s="89">
        <v>40.24</v>
      </c>
      <c r="G6" s="92">
        <v>2</v>
      </c>
    </row>
    <row r="7" spans="2:7" ht="11.1" thickBot="1">
      <c r="B7" s="86" t="s">
        <v>105</v>
      </c>
      <c r="C7" s="87" t="s">
        <v>106</v>
      </c>
      <c r="D7" s="87" t="s">
        <v>107</v>
      </c>
      <c r="E7" s="88">
        <v>0.5</v>
      </c>
      <c r="F7" s="89">
        <v>43.95</v>
      </c>
      <c r="G7" s="92">
        <v>4</v>
      </c>
    </row>
    <row r="8" spans="2:7" ht="11.1" thickBot="1">
      <c r="B8" s="86" t="s">
        <v>108</v>
      </c>
      <c r="C8" s="87" t="s">
        <v>109</v>
      </c>
      <c r="D8" s="87" t="s">
        <v>110</v>
      </c>
      <c r="E8" s="88">
        <v>0.6</v>
      </c>
      <c r="F8" s="89">
        <v>44.57</v>
      </c>
      <c r="G8" s="92">
        <v>3</v>
      </c>
    </row>
    <row r="9" spans="2:7" ht="11.1" thickBot="1">
      <c r="B9" s="86" t="s">
        <v>111</v>
      </c>
      <c r="C9" s="87" t="s">
        <v>112</v>
      </c>
      <c r="D9" s="87" t="s">
        <v>113</v>
      </c>
      <c r="E9" s="88">
        <v>0.55000000000000004</v>
      </c>
      <c r="F9" s="89">
        <v>45.19</v>
      </c>
      <c r="G9" s="92">
        <v>3</v>
      </c>
    </row>
    <row r="10" spans="2:7" ht="11.1" thickBot="1">
      <c r="B10" s="86" t="s">
        <v>114</v>
      </c>
      <c r="C10" s="87" t="s">
        <v>115</v>
      </c>
      <c r="D10" s="87" t="s">
        <v>113</v>
      </c>
      <c r="E10" s="88">
        <v>0.55000000000000004</v>
      </c>
      <c r="F10" s="89">
        <v>45.8</v>
      </c>
      <c r="G10" s="92">
        <v>2</v>
      </c>
    </row>
    <row r="11" spans="2:7" ht="11.1" thickBot="1">
      <c r="B11" s="86" t="s">
        <v>116</v>
      </c>
      <c r="C11" s="87" t="s">
        <v>117</v>
      </c>
      <c r="D11" s="87" t="s">
        <v>118</v>
      </c>
      <c r="E11" s="88">
        <v>0.62</v>
      </c>
      <c r="F11" s="89">
        <v>46.43</v>
      </c>
      <c r="G11" s="92">
        <v>4</v>
      </c>
    </row>
    <row r="12" spans="2:7" ht="11.1" thickBot="1">
      <c r="B12" s="86" t="s">
        <v>119</v>
      </c>
      <c r="C12" s="87" t="s">
        <v>120</v>
      </c>
      <c r="D12" s="87" t="s">
        <v>118</v>
      </c>
      <c r="E12" s="88">
        <v>0.62</v>
      </c>
      <c r="F12" s="89">
        <v>40.85</v>
      </c>
      <c r="G12" s="92">
        <v>3</v>
      </c>
    </row>
    <row r="13" spans="2:7" ht="11.1" thickBot="1">
      <c r="B13" s="86" t="s">
        <v>121</v>
      </c>
      <c r="C13" s="87" t="s">
        <v>122</v>
      </c>
      <c r="D13" s="87" t="s">
        <v>118</v>
      </c>
      <c r="E13" s="88">
        <v>0.62</v>
      </c>
      <c r="F13" s="89">
        <v>47.04</v>
      </c>
      <c r="G13" s="92">
        <v>2</v>
      </c>
    </row>
    <row r="14" spans="2:7" ht="11.1" thickBot="1">
      <c r="B14" s="86" t="s">
        <v>123</v>
      </c>
      <c r="C14" s="87" t="s">
        <v>124</v>
      </c>
      <c r="D14" s="87" t="s">
        <v>99</v>
      </c>
      <c r="E14" s="88">
        <v>0.5</v>
      </c>
      <c r="F14" s="89">
        <v>47.67</v>
      </c>
      <c r="G14" s="92">
        <v>3</v>
      </c>
    </row>
    <row r="15" spans="2:7" ht="11.1" thickBot="1">
      <c r="B15" s="86" t="s">
        <v>125</v>
      </c>
      <c r="C15" s="87" t="s">
        <v>126</v>
      </c>
      <c r="D15" s="87" t="s">
        <v>99</v>
      </c>
      <c r="E15" s="88">
        <v>0.5</v>
      </c>
      <c r="F15" s="89">
        <v>48.28</v>
      </c>
      <c r="G15" s="92">
        <v>4</v>
      </c>
    </row>
    <row r="16" spans="2:7" ht="11.1" thickBot="1">
      <c r="B16" s="86" t="s">
        <v>127</v>
      </c>
      <c r="C16" s="87" t="s">
        <v>128</v>
      </c>
      <c r="D16" s="87" t="s">
        <v>99</v>
      </c>
      <c r="E16" s="88">
        <v>0.5</v>
      </c>
      <c r="F16" s="89">
        <v>48.9</v>
      </c>
      <c r="G16" s="92">
        <v>3</v>
      </c>
    </row>
    <row r="17" spans="2:7" ht="11.1" thickBot="1">
      <c r="B17" s="86" t="s">
        <v>129</v>
      </c>
      <c r="C17" s="87" t="s">
        <v>130</v>
      </c>
      <c r="D17" s="87" t="s">
        <v>99</v>
      </c>
      <c r="E17" s="88">
        <v>0.5</v>
      </c>
      <c r="F17" s="89">
        <v>49.52</v>
      </c>
      <c r="G17" s="92">
        <v>2</v>
      </c>
    </row>
    <row r="18" spans="2:7" ht="11.1" thickBot="1">
      <c r="B18" s="86" t="s">
        <v>131</v>
      </c>
      <c r="C18" s="87" t="s">
        <v>132</v>
      </c>
      <c r="D18" s="87" t="s">
        <v>102</v>
      </c>
      <c r="E18" s="88">
        <v>0.6</v>
      </c>
      <c r="F18" s="89">
        <v>41.48</v>
      </c>
      <c r="G18" s="92">
        <v>3</v>
      </c>
    </row>
    <row r="19" spans="2:7" ht="11.1" thickBot="1">
      <c r="B19" s="86" t="s">
        <v>133</v>
      </c>
      <c r="C19" s="87" t="s">
        <v>134</v>
      </c>
      <c r="D19" s="87" t="s">
        <v>102</v>
      </c>
      <c r="E19" s="88">
        <v>0.6</v>
      </c>
      <c r="F19" s="89">
        <v>50.14</v>
      </c>
      <c r="G19" s="92">
        <v>3</v>
      </c>
    </row>
    <row r="20" spans="2:7" ht="11.1" thickBot="1">
      <c r="B20" s="86" t="s">
        <v>135</v>
      </c>
      <c r="C20" s="87" t="s">
        <v>136</v>
      </c>
      <c r="D20" s="87" t="s">
        <v>102</v>
      </c>
      <c r="E20" s="88">
        <v>0.6</v>
      </c>
      <c r="F20" s="89">
        <v>50.76</v>
      </c>
      <c r="G20" s="92">
        <v>4</v>
      </c>
    </row>
    <row r="21" spans="2:7" ht="11.1" thickBot="1">
      <c r="B21" s="86" t="s">
        <v>137</v>
      </c>
      <c r="C21" s="87" t="s">
        <v>138</v>
      </c>
      <c r="D21" s="87" t="s">
        <v>107</v>
      </c>
      <c r="E21" s="88">
        <v>0.5</v>
      </c>
      <c r="F21" s="89">
        <v>51.38</v>
      </c>
      <c r="G21" s="92">
        <v>2</v>
      </c>
    </row>
    <row r="22" spans="2:7" ht="11.1" thickBot="1">
      <c r="B22" s="86" t="s">
        <v>139</v>
      </c>
      <c r="C22" s="87" t="s">
        <v>140</v>
      </c>
      <c r="D22" s="87" t="s">
        <v>107</v>
      </c>
      <c r="E22" s="88">
        <v>0.5</v>
      </c>
      <c r="F22" s="89">
        <v>51.99</v>
      </c>
      <c r="G22" s="92">
        <v>3</v>
      </c>
    </row>
    <row r="23" spans="2:7" ht="11.1" thickBot="1">
      <c r="B23" s="86" t="s">
        <v>141</v>
      </c>
      <c r="C23" s="87" t="s">
        <v>142</v>
      </c>
      <c r="D23" s="87" t="s">
        <v>107</v>
      </c>
      <c r="E23" s="88">
        <v>0.5</v>
      </c>
      <c r="F23" s="89">
        <v>52.62</v>
      </c>
      <c r="G23" s="92">
        <v>4</v>
      </c>
    </row>
    <row r="24" spans="2:7" ht="11.1" thickBot="1">
      <c r="B24" s="86" t="s">
        <v>143</v>
      </c>
      <c r="C24" s="87" t="s">
        <v>144</v>
      </c>
      <c r="D24" s="87" t="s">
        <v>107</v>
      </c>
      <c r="E24" s="88">
        <v>0.5</v>
      </c>
      <c r="F24" s="89">
        <v>53.23</v>
      </c>
      <c r="G24" s="92">
        <v>3</v>
      </c>
    </row>
    <row r="25" spans="2:7" ht="11.1" thickBot="1">
      <c r="B25" s="86" t="s">
        <v>145</v>
      </c>
      <c r="C25" s="87" t="s">
        <v>146</v>
      </c>
      <c r="D25" s="87" t="s">
        <v>110</v>
      </c>
      <c r="E25" s="88">
        <v>0.6</v>
      </c>
      <c r="F25" s="89">
        <v>42.09</v>
      </c>
      <c r="G25" s="92">
        <v>2</v>
      </c>
    </row>
    <row r="26" spans="2:7" ht="11.1" thickBot="1">
      <c r="B26" s="86" t="s">
        <v>147</v>
      </c>
      <c r="C26" s="87" t="s">
        <v>148</v>
      </c>
      <c r="D26" s="87" t="s">
        <v>110</v>
      </c>
      <c r="E26" s="88">
        <v>0.6</v>
      </c>
      <c r="F26" s="89">
        <v>53.86</v>
      </c>
      <c r="G26" s="92">
        <v>3</v>
      </c>
    </row>
    <row r="27" spans="2:7" ht="11.1" thickBot="1">
      <c r="B27" s="86" t="s">
        <v>149</v>
      </c>
      <c r="C27" s="87" t="s">
        <v>150</v>
      </c>
      <c r="D27" s="87" t="s">
        <v>110</v>
      </c>
      <c r="E27" s="88">
        <v>0.6</v>
      </c>
      <c r="F27" s="89">
        <v>54.47</v>
      </c>
      <c r="G27" s="92">
        <v>3</v>
      </c>
    </row>
    <row r="28" spans="2:7" ht="11.1" thickBot="1">
      <c r="B28" s="86" t="s">
        <v>151</v>
      </c>
      <c r="C28" s="87" t="s">
        <v>152</v>
      </c>
      <c r="D28" s="87" t="s">
        <v>110</v>
      </c>
      <c r="E28" s="88">
        <v>0.6</v>
      </c>
      <c r="F28" s="89">
        <v>55.09</v>
      </c>
      <c r="G28" s="92">
        <v>4</v>
      </c>
    </row>
    <row r="29" spans="2:7" ht="11.1" thickBot="1">
      <c r="B29" s="86" t="s">
        <v>153</v>
      </c>
      <c r="C29" s="87" t="s">
        <v>154</v>
      </c>
      <c r="D29" s="87" t="s">
        <v>113</v>
      </c>
      <c r="E29" s="88">
        <v>0.55000000000000004</v>
      </c>
      <c r="F29" s="89">
        <v>55.71</v>
      </c>
      <c r="G29" s="92">
        <v>2</v>
      </c>
    </row>
    <row r="30" spans="2:7" ht="11.1" thickBot="1">
      <c r="B30" s="86" t="s">
        <v>155</v>
      </c>
      <c r="C30" s="87" t="s">
        <v>156</v>
      </c>
      <c r="D30" s="87" t="s">
        <v>113</v>
      </c>
      <c r="E30" s="88">
        <v>0.55000000000000004</v>
      </c>
      <c r="F30" s="89">
        <v>56.33</v>
      </c>
      <c r="G30" s="92">
        <v>3</v>
      </c>
    </row>
    <row r="31" spans="2:7" ht="11.1" thickBot="1">
      <c r="B31" s="86" t="s">
        <v>157</v>
      </c>
      <c r="C31" s="87" t="s">
        <v>158</v>
      </c>
      <c r="D31" s="87" t="s">
        <v>113</v>
      </c>
      <c r="E31" s="88">
        <v>0.55000000000000004</v>
      </c>
      <c r="F31" s="89">
        <v>42.4</v>
      </c>
      <c r="G31" s="92">
        <v>4</v>
      </c>
    </row>
    <row r="32" spans="2:7" ht="11.1" thickBot="1">
      <c r="B32" s="86" t="s">
        <v>159</v>
      </c>
      <c r="C32" s="87" t="s">
        <v>160</v>
      </c>
      <c r="D32" s="87" t="s">
        <v>118</v>
      </c>
      <c r="E32" s="88">
        <v>0.62</v>
      </c>
      <c r="F32" s="89">
        <v>57.57</v>
      </c>
      <c r="G32" s="92">
        <v>3</v>
      </c>
    </row>
    <row r="33" spans="2:7" ht="11.1" thickBot="1">
      <c r="B33" s="86" t="s">
        <v>161</v>
      </c>
      <c r="C33" s="87" t="s">
        <v>162</v>
      </c>
      <c r="D33" s="87" t="s">
        <v>118</v>
      </c>
      <c r="E33" s="88">
        <v>0.62</v>
      </c>
      <c r="F33" s="89">
        <v>58.81</v>
      </c>
      <c r="G33" s="92">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2D32A-B1A7-4F3B-B5F5-F5B719DB8EBF}">
  <dimension ref="B2:K9"/>
  <sheetViews>
    <sheetView showGridLines="0" zoomScale="160" zoomScaleNormal="160" workbookViewId="0">
      <selection activeCell="K27" sqref="K27"/>
    </sheetView>
  </sheetViews>
  <sheetFormatPr defaultRowHeight="9.9499999999999993"/>
  <cols>
    <col min="2" max="2" width="11.83203125" customWidth="1"/>
    <col min="3" max="3" width="12.5" customWidth="1"/>
    <col min="4" max="4" width="14.6640625" customWidth="1"/>
    <col min="5" max="5" width="20.1640625" customWidth="1"/>
    <col min="6" max="6" width="17.6640625" customWidth="1"/>
    <col min="7" max="7" width="17.83203125" customWidth="1"/>
  </cols>
  <sheetData>
    <row r="2" spans="2:11">
      <c r="F2" s="47"/>
      <c r="G2" s="47"/>
    </row>
    <row r="3" spans="2:11" ht="10.5" thickBot="1">
      <c r="F3" s="63"/>
      <c r="G3" s="63"/>
    </row>
    <row r="4" spans="2:11" ht="42.6" thickBot="1">
      <c r="B4" s="91" t="s">
        <v>93</v>
      </c>
      <c r="C4" s="90" t="s">
        <v>94</v>
      </c>
      <c r="D4" s="90" t="s">
        <v>163</v>
      </c>
      <c r="E4" s="90" t="s">
        <v>164</v>
      </c>
      <c r="F4" s="90" t="s">
        <v>165</v>
      </c>
      <c r="G4" s="90" t="s">
        <v>165</v>
      </c>
      <c r="I4" s="139" t="s">
        <v>166</v>
      </c>
      <c r="J4" s="139"/>
      <c r="K4" s="139"/>
    </row>
    <row r="5" spans="2:11" ht="21.6" thickBot="1">
      <c r="B5" s="93" t="s">
        <v>99</v>
      </c>
      <c r="C5" s="88">
        <v>0.5</v>
      </c>
      <c r="D5" s="94">
        <v>12</v>
      </c>
      <c r="E5" s="94" t="s">
        <v>167</v>
      </c>
      <c r="F5" s="94">
        <v>3.75</v>
      </c>
      <c r="G5" s="94">
        <v>5</v>
      </c>
      <c r="I5" s="139"/>
      <c r="J5" s="139"/>
      <c r="K5" s="139"/>
    </row>
    <row r="6" spans="2:11" ht="21.6" thickBot="1">
      <c r="B6" s="86" t="s">
        <v>102</v>
      </c>
      <c r="C6" s="88">
        <v>0.6</v>
      </c>
      <c r="D6" s="94">
        <v>12</v>
      </c>
      <c r="E6" s="94" t="s">
        <v>168</v>
      </c>
      <c r="F6" s="94">
        <v>3.75</v>
      </c>
      <c r="G6" s="94">
        <v>5</v>
      </c>
      <c r="I6" s="139"/>
      <c r="J6" s="139"/>
      <c r="K6" s="139"/>
    </row>
    <row r="7" spans="2:11" ht="21.6" thickBot="1">
      <c r="B7" s="86" t="s">
        <v>107</v>
      </c>
      <c r="C7" s="88">
        <v>0.5</v>
      </c>
      <c r="D7" s="94">
        <v>12</v>
      </c>
      <c r="E7" s="94" t="s">
        <v>169</v>
      </c>
      <c r="F7" s="94">
        <v>3.75</v>
      </c>
      <c r="G7" s="94">
        <v>5</v>
      </c>
      <c r="I7" s="139"/>
      <c r="J7" s="139"/>
      <c r="K7" s="139"/>
    </row>
    <row r="8" spans="2:11" ht="21.6" thickBot="1">
      <c r="B8" s="86" t="s">
        <v>110</v>
      </c>
      <c r="C8" s="88">
        <v>0.6</v>
      </c>
      <c r="D8" s="94">
        <v>12</v>
      </c>
      <c r="E8" s="94" t="s">
        <v>170</v>
      </c>
      <c r="F8" s="94">
        <v>3.75</v>
      </c>
      <c r="G8" s="94">
        <v>5</v>
      </c>
    </row>
    <row r="9" spans="2:11" ht="21.6" thickBot="1">
      <c r="B9" s="86" t="s">
        <v>113</v>
      </c>
      <c r="C9" s="88">
        <v>0.55000000000000004</v>
      </c>
      <c r="D9" s="94">
        <v>12</v>
      </c>
      <c r="E9" s="94" t="s">
        <v>171</v>
      </c>
      <c r="F9" s="94">
        <v>3.75</v>
      </c>
      <c r="G9" s="94">
        <v>5</v>
      </c>
    </row>
  </sheetData>
  <mergeCells count="1">
    <mergeCell ref="I4:K7"/>
  </mergeCells>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CB87B8E0484147BC58864FAD5EDB5F" ma:contentTypeVersion="17" ma:contentTypeDescription="Create a new document." ma:contentTypeScope="" ma:versionID="b05481cd32645e9c5ba846f45e33ef47">
  <xsd:schema xmlns:xsd="http://www.w3.org/2001/XMLSchema" xmlns:xs="http://www.w3.org/2001/XMLSchema" xmlns:p="http://schemas.microsoft.com/office/2006/metadata/properties" xmlns:ns1="http://schemas.microsoft.com/sharepoint/v3" xmlns:ns2="187e3637-6ada-4e59-9a4d-5242bee23c24" xmlns:ns3="2c52028d-c4d2-41a5-a989-a7664de9a0c5" targetNamespace="http://schemas.microsoft.com/office/2006/metadata/properties" ma:root="true" ma:fieldsID="62443fcb3b8ce740c6b3b852c90ca0ba" ns1:_="" ns2:_="" ns3:_="">
    <xsd:import namespace="http://schemas.microsoft.com/sharepoint/v3"/>
    <xsd:import namespace="187e3637-6ada-4e59-9a4d-5242bee23c24"/>
    <xsd:import namespace="2c52028d-c4d2-41a5-a989-a7664de9a0c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element ref="ns2:MediaServiceObjectDetectorVersions" minOccurs="0"/>
                <xsd:element ref="ns1:PublishingStartDate" minOccurs="0"/>
                <xsd:element ref="ns1:PublishingExpirationDat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23"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24"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7e3637-6ada-4e59-9a4d-5242bee23c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5b5bb6-e6ab-48af-be60-1eb596eb6b5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c52028d-c4d2-41a5-a989-a7664de9a0c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1deddfc-6409-4e04-9733-3cb51b1bcd2d}" ma:internalName="TaxCatchAll" ma:showField="CatchAllData" ma:web="2c52028d-c4d2-41a5-a989-a7664de9a0c5">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87e3637-6ada-4e59-9a4d-5242bee23c24">
      <Terms xmlns="http://schemas.microsoft.com/office/infopath/2007/PartnerControls"/>
    </lcf76f155ced4ddcb4097134ff3c332f>
    <TaxCatchAll xmlns="2c52028d-c4d2-41a5-a989-a7664de9a0c5"/>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51FBF1E4-755F-4B59-8EB3-A9DA12F3F1AE}"/>
</file>

<file path=customXml/itemProps2.xml><?xml version="1.0" encoding="utf-8"?>
<ds:datastoreItem xmlns:ds="http://schemas.openxmlformats.org/officeDocument/2006/customXml" ds:itemID="{C0B397F8-408E-48F6-B5B7-973FFD8EB933}"/>
</file>

<file path=customXml/itemProps3.xml><?xml version="1.0" encoding="utf-8"?>
<ds:datastoreItem xmlns:ds="http://schemas.openxmlformats.org/officeDocument/2006/customXml" ds:itemID="{006FD0D5-9C36-4B06-8BFE-21D2CF1053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 Underberg</dc:creator>
  <cp:keywords/>
  <dc:description/>
  <cp:lastModifiedBy/>
  <cp:revision/>
  <dcterms:created xsi:type="dcterms:W3CDTF">2026-09-22T22:16:27Z</dcterms:created>
  <dcterms:modified xsi:type="dcterms:W3CDTF">2026-09-28T14:40:12Z</dcterms:modified>
  <cp:category/>
  <cp:contentStatus/>
</cp:coreProperties>
</file>